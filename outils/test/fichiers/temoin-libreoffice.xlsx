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ock" sheetId="1" state="visible" r:id="rId3"/>
    <sheet name="Tarif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<sst xmlns="http://schemas.openxmlformats.org/spreadsheetml/2006/main" count="36" uniqueCount="30">
  <si>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Référence</t>
  </si>
  <si>
    <t xml:space="preserve">Désignation</t>
  </si>
  <si>
    <t xml:space="preserve">Stock début</t>
  </si>
  <si>
    <t xml:space="preserve">Sorties</t>
  </si>
  <si>
    <t xml:space="preserve">Stock fin</t>
  </si>
  <si>
    <t xml:space="preserve">Seuil</t>
  </si>
  <si>
    <t xml:space="preserve">À commander ?</t>
  </si>
  <si>
    <t xml:space="preserve">Fournisseur</t>
  </si>
  <si>
    <t xml:space="preserve">Prix unitaire</t>
  </si>
  <si>
    <t xml:space="preserve">Valeur stock</t>
  </si>
  <si>
    <t xml:space="preserve">CD-101</t>
  </si>
  <si>
    <t xml:space="preserve">Aspirateur balai</t>
  </si>
  <si>
    <t xml:space="preserve">F1</t>
  </si>
  <si>
    <t xml:space="preserve">CD-102</t>
  </si>
  <si>
    <t xml:space="preserve">Micro-ondes</t>
  </si>
  <si>
    <t xml:space="preserve">F2</t>
  </si>
  <si>
    <t xml:space="preserve">CD-103</t>
  </si>
  <si>
    <t xml:space="preserve">Cafetière</t>
  </si>
  <si>
    <t xml:space="preserve">CD-104</t>
  </si>
  <si>
    <t xml:space="preserve">Bouilloire</t>
  </si>
  <si>
    <t xml:space="preserve">F3</t>
  </si>
  <si>
    <t xml:space="preserve">CD-105</t>
  </si>
  <si>
    <t xml:space="preserve">Grille-pain</t>
  </si>
  <si>
    <t xml:space="preserve">F9</t>
  </si>
  <si>
    <t xml:space="preserve">Total stock fin</t>
  </si>
  <si>
    <t xml:space="preserve">Nb de références à commander</t>
  </si>
  <si>
    <t xml:space="preserve">Sorties du fournisseur F1</t>
  </si>
  <si>
    <t xml:space="preserve">Moyenne des sorties</t>
  </si>
  <si>
    <t xml:space="preserve">Taux de sortie global</t>
  </si>
  <si>
    <t xml:space="preserve">Valeur totale (nombre tapé, pas de formule)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</si>
</sst>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40</v>
      </c>
      <c r="D2" s="0" t="n">
        <v>12</v>
      </c>
      <c r="E2" s="0" t="n">
        <f aca="false">C2-D2</f>
        <v>28</v>
      </c>
      <c r="F2" s="0" t="n">
        <v>15</v>
      </c>
      <c r="G2" s="0" t="str">
        <f aca="false">IF(E2&lt;F2,"OUI","NON")</f>
        <v>NON</v>
      </c>
      <c r="H2" s="0" t="s">
        <v>12</v>
      </c>
      <c r="I2" s="0" t="n">
        <f aca="false">IFERROR(VLOOKUP(H2,Tarifs!$A$2:$B$4,2,FALSE()),0)</f>
        <v>49.9</v>
      </c>
      <c r="J2" s="0" t="n">
        <f aca="false">ROUND(E2*I2,2)</f>
        <v>1397.2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25</v>
      </c>
      <c r="D3" s="0" t="n">
        <v>20</v>
      </c>
      <c r="E3" s="0" t="n">
        <f aca="false">C3-D3</f>
        <v>5</v>
      </c>
      <c r="F3" s="0" t="n">
        <v>10</v>
      </c>
      <c r="G3" s="0" t="str">
        <f aca="false">IF(E3&lt;F3,"OUI","NON")</f>
        <v>OUI</v>
      </c>
      <c r="H3" s="0" t="s">
        <v>15</v>
      </c>
      <c r="I3" s="0" t="n">
        <f aca="false">IFERROR(VLOOKUP(H3,Tarifs!$A$2:$B$4,2,FALSE()),0)</f>
        <v>89</v>
      </c>
      <c r="J3" s="0" t="n">
        <f aca="false">ROUND(E3*I3,2)</f>
        <v>445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n">
        <v>60</v>
      </c>
      <c r="D4" s="0" t="n">
        <v>18</v>
      </c>
      <c r="E4" s="0" t="n">
        <f aca="false">C4-D4</f>
        <v>42</v>
      </c>
      <c r="F4" s="0" t="n">
        <v>20</v>
      </c>
      <c r="G4" s="0" t="str">
        <f aca="false">IF(E4&lt;F4,"OUI","NON")</f>
        <v>NON</v>
      </c>
      <c r="H4" s="0" t="s">
        <v>12</v>
      </c>
      <c r="I4" s="0" t="n">
        <f aca="false">IFERROR(VLOOKUP(H4,Tarifs!$A$2:$B$4,2,FALSE()),0)</f>
        <v>49.9</v>
      </c>
      <c r="J4" s="0" t="n">
        <f aca="false">ROUND(E4*I4,2)</f>
        <v>2095.8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v>30</v>
      </c>
      <c r="D5" s="0" t="n">
        <v>27</v>
      </c>
      <c r="E5" s="0" t="n">
        <f aca="false">C5-D5</f>
        <v>3</v>
      </c>
      <c r="F5" s="0" t="n">
        <v>8</v>
      </c>
      <c r="G5" s="0" t="str">
        <f aca="false">IF(E5&lt;F5,"OUI","NON")</f>
        <v>OUI</v>
      </c>
      <c r="H5" s="0" t="s">
        <v>20</v>
      </c>
      <c r="I5" s="0" t="n">
        <f aca="false">IFERROR(VLOOKUP(H5,Tarifs!$A$2:$B$4,2,FALSE()),0)</f>
        <v>24.5</v>
      </c>
      <c r="J5" s="0" t="n">
        <f aca="false">ROUND(E5*I5,2)</f>
        <v>73.5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n">
        <v>18</v>
      </c>
      <c r="D6" s="0" t="n">
        <v>5</v>
      </c>
      <c r="E6" s="0" t="n">
        <f aca="false">C6-D6</f>
        <v>13</v>
      </c>
      <c r="F6" s="0" t="n">
        <v>10</v>
      </c>
      <c r="G6" s="0" t="str">
        <f aca="false">IF(E6&lt;F6,"OUI","NON")</f>
        <v>NON</v>
      </c>
      <c r="H6" s="0" t="s">
        <v>23</v>
      </c>
      <c r="I6" s="0" t="n">
        <f aca="false">IFERROR(VLOOKUP(H6,Tarifs!$A$2:$B$4,2,FALSE()),0)</f>
        <v>0</v>
      </c>
      <c r="J6" s="0" t="n">
        <f aca="false">ROUND(E6*I6,2)</f>
        <v>0</v>
      </c>
    </row>
    <row r="8" customFormat="false" ht="15" hidden="false" customHeight="false" outlineLevel="0" collapsed="false">
      <c r="A8" s="0" t="s">
        <v>24</v>
      </c>
      <c r="E8" s="0" t="n">
        <f aca="false">SUM(E2:E6)</f>
        <v>91</v>
      </c>
    </row>
    <row r="9" customFormat="false" ht="15" hidden="false" customHeight="false" outlineLevel="0" collapsed="false">
      <c r="A9" s="0" t="s">
        <v>25</v>
      </c>
      <c r="E9" s="0" t="n">
        <f aca="false">COUNTIF(G2:G6,"OUI")</f>
        <v>2</v>
      </c>
    </row>
    <row r="10" customFormat="false" ht="15" hidden="false" customHeight="false" outlineLevel="0" collapsed="false">
      <c r="A10" s="0" t="s">
        <v>26</v>
      </c>
      <c r="E10" s="0" t="n">
        <f aca="false">SUMIF(H2:H6,"F1",D2:D6)</f>
        <v>30</v>
      </c>
    </row>
    <row r="11" customFormat="false" ht="15" hidden="false" customHeight="false" outlineLevel="0" collapsed="false">
      <c r="A11" s="0" t="s">
        <v>27</v>
      </c>
      <c r="E11" s="0" t="n">
        <f aca="false">AVERAGE(D2:D6)</f>
        <v>16.4</v>
      </c>
    </row>
    <row r="12" customFormat="false" ht="15" hidden="false" customHeight="false" outlineLevel="0" collapsed="false">
      <c r="A12" s="0" t="s">
        <v>28</v>
      </c>
      <c r="E12" s="0" t="n">
        <f aca="false">SUM(D2:D6)/SUM(C2:C6)</f>
        <v>0.473988439306358</v>
      </c>
    </row>
    <row r="13" customFormat="false" ht="15" hidden="false" customHeight="false" outlineLevel="0" collapsed="false">
      <c r="A13" s="0" t="s">
        <v>29</v>
      </c>
      <c r="E13" s="0" t="n">
        <v>1234.5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8</v>
      </c>
    </row>
    <row r="2" customFormat="false" ht="15" hidden="false" customHeight="false" outlineLevel="0" collapsed="false">
      <c r="A2" s="0" t="s">
        <v>12</v>
      </c>
      <c r="B2" s="0" t="n">
        <v>49.9</v>
      </c>
    </row>
    <row r="3" customFormat="false" ht="15" hidden="false" customHeight="false" outlineLevel="0" collapsed="false">
      <c r="A3" s="0" t="s">
        <v>15</v>
      </c>
      <c r="B3" s="0" t="n">
        <v>89</v>
      </c>
    </row>
    <row r="4" customFormat="false" ht="15" hidden="false" customHeight="false" outlineLevel="0" collapsed="false">
      <c r="A4" s="0" t="s">
        <v>20</v>
      </c>
      <c r="B4" s="0" t="n">
        <v>24.5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2026-10-03T16:34:30Z</dcterms:created>
  <dc:creator>openpyxl</dc:creator>
  <dc:description/>
  <dc:language>en-US</dc:language>
  <cp:lastModifiedBy/>
  <dcterms:modified xsi:type="dcterms:W3CDTF">2026-10-03T16:34:30Z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