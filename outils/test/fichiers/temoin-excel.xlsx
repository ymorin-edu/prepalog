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on Drive\Travail\Logistique\1L\Claude outputs\temoins-tableur\"/>
    </mc:Choice>
  </mc:AlternateContent>
  <xr:revisionPtr revIDLastSave="0" documentId="8_{CE2FC44B-9573-4121-BE11-1574ED29879D}" xr6:coauthVersionLast="47" xr6:coauthVersionMax="47" xr10:uidLastSave="{00000000-0000-0000-0000-000000000000}"/>
  <bookViews>
    <workbookView xWindow="38280" yWindow="2610" windowWidth="29040" windowHeight="15720" xr2:uid="{00000000-000D-0000-FFFF-FFFF00000000}"/>
  </bookViews>
  <sheets>
    <sheet name="Stock" sheetId="1" r:id="rId1"/>
    <sheet name="Tarif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8" i="1"/>
  <c r="I6" i="1"/>
  <c r="E6" i="1"/>
  <c r="J6" i="1" s="1"/>
  <c r="I5" i="1"/>
  <c r="E5" i="1"/>
  <c r="J5" i="1" s="1"/>
  <c r="I4" i="1"/>
  <c r="E4" i="1"/>
  <c r="J4" i="1" s="1"/>
  <c r="I3" i="1"/>
  <c r="E3" i="1"/>
  <c r="G3" i="1" s="1"/>
  <c r="I2" i="1"/>
  <c r="E2" i="1"/>
  <c r="J2" i="1" s="1"/>
  <c r="G4" i="1" l="1"/>
  <c r="J3" i="1"/>
  <c r="G5" i="1"/>
  <c r="G2" i="1"/>
  <c r="E9" i="1" s="1"/>
  <c r="G6" i="1"/>
</calcChain>
</file>

<file path=xl/sharedStrings.xml><?xml version="1.0" encoding="utf-8"?>
<sst xmlns="http://schemas.openxmlformats.org/spreadsheetml/2006/main" count="36" uniqueCount="30">
  <si>
    <t>Référence</t>
  </si>
  <si>
    <t>Désignation</t>
  </si>
  <si>
    <t>Stock début</t>
  </si>
  <si>
    <t>Sorties</t>
  </si>
  <si>
    <t>Stock fin</t>
  </si>
  <si>
    <t>Seuil</t>
  </si>
  <si>
    <t>À commander ?</t>
  </si>
  <si>
    <t>Fournisseur</t>
  </si>
  <si>
    <t>Prix unitaire</t>
  </si>
  <si>
    <t>Valeur stock</t>
  </si>
  <si>
    <t>CD-101</t>
  </si>
  <si>
    <t>Aspirateur balai</t>
  </si>
  <si>
    <t>F1</t>
  </si>
  <si>
    <t>CD-102</t>
  </si>
  <si>
    <t>Micro-ondes</t>
  </si>
  <si>
    <t>F2</t>
  </si>
  <si>
    <t>CD-103</t>
  </si>
  <si>
    <t>Cafetière</t>
  </si>
  <si>
    <t>CD-104</t>
  </si>
  <si>
    <t>Bouilloire</t>
  </si>
  <si>
    <t>F3</t>
  </si>
  <si>
    <t>CD-105</t>
  </si>
  <si>
    <t>Grille-pain</t>
  </si>
  <si>
    <t>F9</t>
  </si>
  <si>
    <t>Total stock fin</t>
  </si>
  <si>
    <t>Nb de références à commander</t>
  </si>
  <si>
    <t>Sorties du fournisseur F1</t>
  </si>
  <si>
    <t>Moyenne des sorties</t>
  </si>
  <si>
    <t>Taux de sortie global</t>
  </si>
  <si>
    <t>Valeur totale (nombre tapé, pas de formule)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</si>
</sst>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14" sqref="H14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40</v>
      </c>
      <c r="D2">
        <v>12</v>
      </c>
      <c r="E2">
        <f>C2-D2</f>
        <v>28</v>
      </c>
      <c r="F2">
        <v>15</v>
      </c>
      <c r="G2" t="str">
        <f>IF(E2&lt;F2,"OUI","NON")</f>
        <v>NON</v>
      </c>
      <c r="H2" t="s">
        <v>12</v>
      </c>
      <c r="I2">
        <f>IFERROR(VLOOKUP(H2,Tarifs!$A$2:$B$4,2,FALSE),0)</f>
        <v>49.9</v>
      </c>
      <c r="J2">
        <f>ROUND(E2*I2,2)</f>
        <v>1397.2</v>
      </c>
    </row>
    <row r="3" spans="1:10" x14ac:dyDescent="0.3">
      <c r="A3" t="s">
        <v>13</v>
      </c>
      <c r="B3" t="s">
        <v>14</v>
      </c>
      <c r="C3">
        <v>25</v>
      </c>
      <c r="D3">
        <v>20</v>
      </c>
      <c r="E3">
        <f>C3-D3</f>
        <v>5</v>
      </c>
      <c r="F3">
        <v>10</v>
      </c>
      <c r="G3" t="str">
        <f>IF(E3&lt;F3,"OUI","NON")</f>
        <v>OUI</v>
      </c>
      <c r="H3" t="s">
        <v>15</v>
      </c>
      <c r="I3">
        <f>IFERROR(VLOOKUP(H3,Tarifs!$A$2:$B$4,2,FALSE),0)</f>
        <v>89</v>
      </c>
      <c r="J3">
        <f>ROUND(E3*I3,2)</f>
        <v>445</v>
      </c>
    </row>
    <row r="4" spans="1:10" x14ac:dyDescent="0.3">
      <c r="A4" t="s">
        <v>16</v>
      </c>
      <c r="B4" t="s">
        <v>17</v>
      </c>
      <c r="C4">
        <v>60</v>
      </c>
      <c r="D4">
        <v>18</v>
      </c>
      <c r="E4">
        <f>C4-D4</f>
        <v>42</v>
      </c>
      <c r="F4">
        <v>20</v>
      </c>
      <c r="G4" t="str">
        <f>IF(E4&lt;F4,"OUI","NON")</f>
        <v>NON</v>
      </c>
      <c r="H4" t="s">
        <v>12</v>
      </c>
      <c r="I4">
        <f>IFERROR(VLOOKUP(H4,Tarifs!$A$2:$B$4,2,FALSE),0)</f>
        <v>49.9</v>
      </c>
      <c r="J4">
        <f>ROUND(E4*I4,2)</f>
        <v>2095.8000000000002</v>
      </c>
    </row>
    <row r="5" spans="1:10" x14ac:dyDescent="0.3">
      <c r="A5" t="s">
        <v>18</v>
      </c>
      <c r="B5" t="s">
        <v>19</v>
      </c>
      <c r="C5">
        <v>30</v>
      </c>
      <c r="D5">
        <v>27</v>
      </c>
      <c r="E5">
        <f>C5-D5</f>
        <v>3</v>
      </c>
      <c r="F5">
        <v>8</v>
      </c>
      <c r="G5" t="str">
        <f>IF(E5&lt;F5,"OUI","NON")</f>
        <v>OUI</v>
      </c>
      <c r="H5" t="s">
        <v>20</v>
      </c>
      <c r="I5">
        <f>IFERROR(VLOOKUP(H5,Tarifs!$A$2:$B$4,2,FALSE),0)</f>
        <v>24.5</v>
      </c>
      <c r="J5">
        <f>ROUND(E5*I5,2)</f>
        <v>73.5</v>
      </c>
    </row>
    <row r="6" spans="1:10" x14ac:dyDescent="0.3">
      <c r="A6" t="s">
        <v>21</v>
      </c>
      <c r="B6" t="s">
        <v>22</v>
      </c>
      <c r="C6">
        <v>18</v>
      </c>
      <c r="D6">
        <v>5</v>
      </c>
      <c r="E6">
        <f>C6-D6</f>
        <v>13</v>
      </c>
      <c r="F6">
        <v>10</v>
      </c>
      <c r="G6" t="str">
        <f>IF(E6&lt;F6,"OUI","NON")</f>
        <v>NON</v>
      </c>
      <c r="H6" t="s">
        <v>23</v>
      </c>
      <c r="I6">
        <f>IFERROR(VLOOKUP(H6,Tarifs!$A$2:$B$4,2,FALSE),0)</f>
        <v>0</v>
      </c>
      <c r="J6">
        <f>ROUND(E6*I6,2)</f>
        <v>0</v>
      </c>
    </row>
    <row r="8" spans="1:10" x14ac:dyDescent="0.3">
      <c r="A8" t="s">
        <v>24</v>
      </c>
      <c r="E8">
        <f>SUM(E2:E6)</f>
        <v>91</v>
      </c>
    </row>
    <row r="9" spans="1:10" x14ac:dyDescent="0.3">
      <c r="A9" t="s">
        <v>25</v>
      </c>
      <c r="E9">
        <f>COUNTIF(G2:G6,"OUI")</f>
        <v>2</v>
      </c>
    </row>
    <row r="10" spans="1:10" x14ac:dyDescent="0.3">
      <c r="A10" t="s">
        <v>26</v>
      </c>
      <c r="E10">
        <f>SUMIF(H2:H6,"F1",D2:D6)</f>
        <v>30</v>
      </c>
    </row>
    <row r="11" spans="1:10" x14ac:dyDescent="0.3">
      <c r="A11" t="s">
        <v>27</v>
      </c>
      <c r="E11">
        <f>AVERAGE(D2:D6)</f>
        <v>16.399999999999999</v>
      </c>
    </row>
    <row r="12" spans="1:10" x14ac:dyDescent="0.3">
      <c r="A12" t="s">
        <v>28</v>
      </c>
      <c r="E12">
        <f>SUM(D2:D6)/SUM(C2:C6)</f>
        <v>0.47398843930635837</v>
      </c>
    </row>
    <row r="13" spans="1:10" x14ac:dyDescent="0.3">
      <c r="A13" t="s">
        <v>29</v>
      </c>
      <c r="E13">
        <v>1234.5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12</v>
      </c>
      <c r="B2">
        <v>49.9</v>
      </c>
    </row>
    <row r="3" spans="1:2" x14ac:dyDescent="0.3">
      <c r="A3" t="s">
        <v>15</v>
      </c>
      <c r="B3">
        <v>89</v>
      </c>
    </row>
    <row r="4" spans="1:2" x14ac:dyDescent="0.3">
      <c r="A4" t="s">
        <v>20</v>
      </c>
      <c r="B4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Stock</vt:lpstr>
      <vt:lpstr>Tarifs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M</cp:lastModifiedBy>
  <dcterms:created xsi:type="dcterms:W3CDTF">2026-10-03T16:34:30Z</dcterms:created>
  <dcterms:modified xsi:type="dcterms:W3CDTF">2026-10-03T16:37:33Z</dcterms:modified>
</cp:coreProperties>
</file>