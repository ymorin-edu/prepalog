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color rgb="008A8577"/>
      <sz val="9"/>
    </font>
    <font>
      <name val="Calibri"/>
      <b val="1"/>
      <color rgb="00107C41"/>
      <sz val="16"/>
    </font>
    <font>
      <name val="Calibri"/>
      <b val="1"/>
      <color rgb="008A8577"/>
      <sz val="9"/>
    </font>
    <font>
      <name val="Calibri"/>
      <b val="1"/>
      <color rgb="00211F1A"/>
      <sz val="13"/>
    </font>
    <font>
      <name val="Calibri"/>
      <b val="1"/>
      <color rgb="00211F1A"/>
      <sz val="11"/>
    </font>
    <font>
      <name val="Calibri"/>
      <color rgb="00211F1A"/>
      <sz val="10"/>
    </font>
    <font>
      <name val="Calibri"/>
      <b val="1"/>
      <color rgb="00211F1A"/>
      <sz val="10"/>
    </font>
    <font>
      <name val="Calibri"/>
      <i val="1"/>
      <color rgb="008A8577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11F1A"/>
      </patternFill>
    </fill>
    <fill>
      <patternFill patternType="solid">
        <fgColor rgb="00FBF3E0"/>
      </patternFill>
    </fill>
  </fills>
  <borders count="3">
    <border>
      <left/>
      <right/>
      <top/>
      <bottom/>
      <diagonal/>
    </border>
    <border>
      <top style="thin">
        <color rgb="008A8577"/>
      </top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9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4" fontId="6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8" customWidth="1" min="3" max="3"/>
  </cols>
  <sheetData>
    <row r="1">
      <c r="B1" s="1" t="inlineStr">
        <is>
          <t>LYCÉE GASTON DARBOUX — NÎMES</t>
        </is>
      </c>
    </row>
    <row r="2">
      <c r="B2" s="2" t="inlineStr">
        <is>
          <t>TAB-4 — Une journée chez STOCKAVAL</t>
        </is>
      </c>
    </row>
    <row r="3">
      <c r="B3" s="1" t="inlineStr">
        <is>
          <t>CAP Opérateur logistique — Excel : les gestes de base</t>
        </is>
      </c>
    </row>
    <row r="5">
      <c r="B5" s="3" t="inlineStr">
        <is>
          <t>Exercice 7 sur 13 — 14 h — Le quai d'expédition</t>
        </is>
      </c>
    </row>
    <row r="6">
      <c r="B6" s="4" t="inlineStr">
        <is>
          <t>Le colis le plus lourd, le plus léger</t>
        </is>
      </c>
    </row>
    <row r="8" ht="14" customHeight="1">
      <c r="B8" s="5" t="inlineStr">
        <is>
          <t>Le geste Excel que vous apprenez</t>
        </is>
      </c>
      <c r="C8" s="6" t="inlineStr">
        <is>
          <t>Utiliser =MIN, =MAX, =MOYENNE et =NB sur une colonne</t>
        </is>
      </c>
    </row>
    <row r="9" ht="27" customHeight="1">
      <c r="B9" s="5" t="inlineStr">
        <is>
          <t>À quoi ça sert dans le métier</t>
        </is>
      </c>
      <c r="C9" s="6" t="inlineStr">
        <is>
          <t>Lire une colonne de poids autrement qu'à l'œil : le plus bas, le plus haut, la moyenne, l'effectif.</t>
        </is>
      </c>
    </row>
    <row r="11">
      <c r="B11" s="5" t="inlineStr">
        <is>
          <t>Vocabulaire à connaître</t>
        </is>
      </c>
    </row>
    <row r="12" ht="27" customHeight="1">
      <c r="B12" s="7">
        <f>MIN et =MAX</f>
        <v/>
      </c>
      <c r="C12" s="6" t="inlineStr">
        <is>
          <t>La plus petite et la plus grande valeur d'une plage. Utile pour repérer d'un coup d'œil un colis anormal.</t>
        </is>
      </c>
    </row>
    <row r="13" ht="14" customHeight="1">
      <c r="B13" s="7">
        <f>MOYENNE</f>
        <v/>
      </c>
      <c r="C13" s="6" t="inlineStr">
        <is>
          <t>La somme divisée par le nombre de valeurs. Excel le fait en une seule fonction.</t>
        </is>
      </c>
    </row>
    <row r="14" ht="27" customHeight="1">
      <c r="B14" s="7">
        <f>NB</f>
        <v/>
      </c>
      <c r="C14" s="6" t="inlineStr">
        <is>
          <t>Compte combien de cellules d'une plage contiennent un nombre. Pratique pour vérifier qu'on n'a rien oublié.</t>
        </is>
      </c>
    </row>
    <row r="16">
      <c r="B16" s="5" t="inlineStr">
        <is>
          <t>Ce que vous devez faire</t>
        </is>
      </c>
    </row>
    <row r="17" ht="14" customHeight="1">
      <c r="B17" s="6" t="inlineStr">
        <is>
          <t>Dix colis sont prêts à partir. Vous les avez pesés un par un.</t>
        </is>
      </c>
    </row>
    <row r="18" ht="14" customHeight="1">
      <c r="B18" s="6" t="inlineStr">
        <is>
          <t>Sous le tableau, complétez les quatre indicateurs avec les fonctions, jamais à la main :</t>
        </is>
      </c>
    </row>
    <row r="19" ht="14" customHeight="1">
      <c r="B19" s="6" t="inlineStr">
        <is>
          <t>Nombre de colis :    =NB(C12:C21)</t>
        </is>
      </c>
    </row>
    <row r="20" ht="27" customHeight="1">
      <c r="B20" s="6" t="inlineStr">
        <is>
          <t>Puis à vous pour les trois autres : le poids le plus faible avec =MIN, le plus élevé avec =MAX, et le poids moyen avec =MOYENNE. La plage est toujours la même.</t>
        </is>
      </c>
    </row>
    <row r="21" ht="14" customHeight="1">
      <c r="B21" s="6" t="inlineStr">
        <is>
          <t>Le poids moyen tombe avec des décimales : c'est normal, ne l'arrondissez pas.</t>
        </is>
      </c>
    </row>
    <row r="23" ht="28" customHeight="1">
      <c r="B23" s="8" t="inlineStr">
        <is>
          <t>Quand vous avez terminé : enregistrez le fichier, revenez sur Prepalog et déposez-le. Vous pouvez le déposer autant de fois que vous voulez — seul votre meilleur résultat est gardé.</t>
        </is>
      </c>
    </row>
    <row r="25">
      <c r="B25" s="9" t="inlineStr">
        <is>
          <t>Entreprise fictive — support pédagogique, lycée Gaston Darboux, Nîmes.</t>
        </is>
      </c>
    </row>
  </sheetData>
  <mergeCells count="6">
    <mergeCell ref="B21:C21"/>
    <mergeCell ref="B19:C19"/>
    <mergeCell ref="B20:C20"/>
    <mergeCell ref="B23:C23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2" t="inlineStr">
        <is>
          <t>STOCKAVAL</t>
        </is>
      </c>
      <c r="B1" s="10" t="inlineStr">
        <is>
          <t>FEUILLE DE PESÉE</t>
        </is>
      </c>
    </row>
    <row r="2">
      <c r="A2" s="1" t="inlineStr">
        <is>
          <t>Plateforme de fournitures d'entrepôt</t>
        </is>
      </c>
      <c r="B2" s="11" t="inlineStr">
        <is>
          <t>PE 2026-0312</t>
        </is>
      </c>
    </row>
    <row r="3">
      <c r="A3" s="1" t="inlineStr">
        <is>
          <t>12 rue des Lauriers — ZA de la Plaine — 30000 Nîmes</t>
        </is>
      </c>
      <c r="B3" s="12" t="inlineStr">
        <is>
          <t>mardi 17 mars 2026 — 14 h 00</t>
        </is>
      </c>
    </row>
    <row r="4">
      <c r="A4" s="1" t="inlineStr">
        <is>
          <t>Tél. 04 66 00 00 00 — SIRET 000 000 000 00000</t>
        </is>
      </c>
    </row>
    <row r="6">
      <c r="A6" s="3" t="inlineStr">
        <is>
          <t>ÉMIS PAR</t>
        </is>
      </c>
    </row>
    <row r="7">
      <c r="A7" s="13" t="inlineStr">
        <is>
          <t>STOCKAVAL</t>
        </is>
      </c>
    </row>
    <row r="8">
      <c r="A8" s="14" t="inlineStr">
        <is>
          <t>12 rue des Lauriers — ZA de la Plaine</t>
        </is>
      </c>
    </row>
    <row r="9">
      <c r="A9" s="14" t="inlineStr">
        <is>
          <t>30000 Nîmes</t>
        </is>
      </c>
    </row>
    <row r="10">
      <c r="A10" s="15" t="n"/>
      <c r="B10" s="15" t="n"/>
      <c r="C10" s="15" t="n"/>
    </row>
    <row r="11" ht="22" customHeight="1">
      <c r="A11" s="16" t="inlineStr">
        <is>
          <t>Colis</t>
        </is>
      </c>
      <c r="B11" s="16" t="inlineStr">
        <is>
          <t>Destination</t>
        </is>
      </c>
      <c r="C11" s="16" t="inlineStr">
        <is>
          <t>Poids (kg)</t>
        </is>
      </c>
    </row>
    <row r="12">
      <c r="A12" s="17" t="inlineStr">
        <is>
          <t>C-2101</t>
        </is>
      </c>
      <c r="B12" s="17" t="inlineStr">
        <is>
          <t>Nîmes — Chantier Sud</t>
        </is>
      </c>
      <c r="C12" s="18" t="n">
        <v>12.5</v>
      </c>
    </row>
    <row r="13">
      <c r="A13" s="17" t="inlineStr">
        <is>
          <t>C-2102</t>
        </is>
      </c>
      <c r="B13" s="17" t="inlineStr">
        <is>
          <t>Alès — Atelier municipal</t>
        </is>
      </c>
      <c r="C13" s="18" t="n">
        <v>4.8</v>
      </c>
    </row>
    <row r="14">
      <c r="A14" s="17" t="inlineStr">
        <is>
          <t>C-2103</t>
        </is>
      </c>
      <c r="B14" s="17" t="inlineStr">
        <is>
          <t>Montpellier — Dépôt Est</t>
        </is>
      </c>
      <c r="C14" s="18" t="n">
        <v>23.2</v>
      </c>
    </row>
    <row r="15">
      <c r="A15" s="17" t="inlineStr">
        <is>
          <t>C-2104</t>
        </is>
      </c>
      <c r="B15" s="17" t="inlineStr">
        <is>
          <t>Nîmes — Chantier Sud</t>
        </is>
      </c>
      <c r="C15" s="18" t="n">
        <v>7.6</v>
      </c>
    </row>
    <row r="16">
      <c r="A16" s="17" t="inlineStr">
        <is>
          <t>C-2105</t>
        </is>
      </c>
      <c r="B16" s="17" t="inlineStr">
        <is>
          <t>Uzès — Services techniques</t>
        </is>
      </c>
      <c r="C16" s="18" t="n">
        <v>18.9</v>
      </c>
    </row>
    <row r="17">
      <c r="A17" s="17" t="inlineStr">
        <is>
          <t>C-2106</t>
        </is>
      </c>
      <c r="B17" s="17" t="inlineStr">
        <is>
          <t>Montpellier — Dépôt Est</t>
        </is>
      </c>
      <c r="C17" s="18" t="n">
        <v>31.4</v>
      </c>
    </row>
    <row r="18">
      <c r="A18" s="17" t="inlineStr">
        <is>
          <t>C-2107</t>
        </is>
      </c>
      <c r="B18" s="17" t="inlineStr">
        <is>
          <t>Beaucaire — Entrepôt 3</t>
        </is>
      </c>
      <c r="C18" s="18" t="n">
        <v>9.199999999999999</v>
      </c>
    </row>
    <row r="19">
      <c r="A19" s="17" t="inlineStr">
        <is>
          <t>C-2108</t>
        </is>
      </c>
      <c r="B19" s="17" t="inlineStr">
        <is>
          <t>Alès — Atelier municipal</t>
        </is>
      </c>
      <c r="C19" s="18" t="n">
        <v>15.7</v>
      </c>
    </row>
    <row r="20">
      <c r="A20" s="17" t="inlineStr">
        <is>
          <t>C-2109</t>
        </is>
      </c>
      <c r="B20" s="17" t="inlineStr">
        <is>
          <t>Nîmes — Chantier Sud</t>
        </is>
      </c>
      <c r="C20" s="18" t="n">
        <v>6.3</v>
      </c>
    </row>
    <row r="21">
      <c r="A21" s="17" t="inlineStr">
        <is>
          <t>C-2110</t>
        </is>
      </c>
      <c r="B21" s="17" t="inlineStr">
        <is>
          <t>Beaucaire — Entrepôt 3</t>
        </is>
      </c>
      <c r="C21" s="18" t="n">
        <v>27.1</v>
      </c>
    </row>
    <row r="23">
      <c r="A23" s="3" t="inlineStr">
        <is>
          <t>À CALCULER</t>
        </is>
      </c>
    </row>
    <row r="24">
      <c r="A24" s="19" t="inlineStr">
        <is>
          <t>Nombre de colis</t>
        </is>
      </c>
      <c r="C24" s="20" t="n"/>
    </row>
    <row r="25">
      <c r="A25" s="19" t="inlineStr">
        <is>
          <t>Poids le plus faible (kg)</t>
        </is>
      </c>
      <c r="C25" s="21" t="n"/>
    </row>
    <row r="26">
      <c r="A26" s="19" t="inlineStr">
        <is>
          <t>Poids le plus élevé (kg)</t>
        </is>
      </c>
      <c r="C26" s="21" t="n"/>
    </row>
    <row r="27">
      <c r="A27" s="19" t="inlineStr">
        <is>
          <t>Poids moyen (kg)</t>
        </is>
      </c>
      <c r="C27" s="22" t="n"/>
    </row>
    <row r="29">
      <c r="A29" s="15" t="n"/>
      <c r="B29" s="15" t="n"/>
      <c r="C29" s="15" t="n"/>
    </row>
    <row r="30">
      <c r="A30" s="9" t="inlineStr">
        <is>
          <t>Entreprise fictive — support pédagogique, lycée Gaston Darboux, Nîmes.</t>
        </is>
      </c>
    </row>
  </sheetData>
  <mergeCells count="8">
    <mergeCell ref="A26:B26"/>
    <mergeCell ref="A24:B24"/>
    <mergeCell ref="B2:C2"/>
    <mergeCell ref="A25:B25"/>
    <mergeCell ref="B3:C3"/>
    <mergeCell ref="A27:B27"/>
    <mergeCell ref="A30:C30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Prepalog</dc:creator>
  <dc:title xmlns:dc="http://purl.org/dc/elements/1.1/">cap07 — Le colis le plus lourd, le plus léger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