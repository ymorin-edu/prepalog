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rgb="008A8577"/>
      <sz val="9"/>
    </font>
    <font>
      <name val="Calibri"/>
      <b val="1"/>
      <color rgb="00107C41"/>
      <sz val="16"/>
    </font>
    <font>
      <name val="Calibri"/>
      <b val="1"/>
      <color rgb="008A8577"/>
      <sz val="9"/>
    </font>
    <font>
      <name val="Calibri"/>
      <b val="1"/>
      <color rgb="00211F1A"/>
      <sz val="13"/>
    </font>
    <font>
      <name val="Calibri"/>
      <b val="1"/>
      <color rgb="00211F1A"/>
      <sz val="11"/>
    </font>
    <font>
      <name val="Calibri"/>
      <color rgb="00211F1A"/>
      <sz val="10"/>
    </font>
    <font>
      <name val="Calibri"/>
      <b val="1"/>
      <color rgb="00211F1A"/>
      <sz val="10"/>
    </font>
    <font>
      <name val="Calibri"/>
      <i val="1"/>
      <color rgb="008A8577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11F1A"/>
      </patternFill>
    </fill>
    <fill>
      <patternFill patternType="solid">
        <fgColor rgb="00FBF3E0"/>
      </patternFill>
    </fill>
  </fills>
  <borders count="3">
    <border>
      <left/>
      <right/>
      <top/>
      <bottom/>
      <diagonal/>
    </border>
    <border>
      <top style="thin">
        <color rgb="008A8577"/>
      </top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9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LYCÉE GASTON DARBOUX — NÎMES</t>
        </is>
      </c>
    </row>
    <row r="2">
      <c r="B2" s="2" t="inlineStr">
        <is>
          <t>TAB-4 — Une journée chez STOCKAVAL</t>
        </is>
      </c>
    </row>
    <row r="3">
      <c r="B3" s="1" t="inlineStr">
        <is>
          <t>CAP Opérateur logistique — Excel : les gestes de base</t>
        </is>
      </c>
    </row>
    <row r="5">
      <c r="B5" s="3" t="inlineStr">
        <is>
          <t>Exercice 4 sur 13 — 10 h — La mise en stock</t>
        </is>
      </c>
    </row>
    <row r="6">
      <c r="B6" s="4" t="inlineStr">
        <is>
          <t>Quatre palettes à ranger : combien de colis ?</t>
        </is>
      </c>
    </row>
    <row r="8" ht="14" customHeight="1">
      <c r="B8" s="5" t="inlineStr">
        <is>
          <t>Le geste Excel que vous apprenez</t>
        </is>
      </c>
      <c r="C8" s="6" t="inlineStr">
        <is>
          <t>Utiliser =SOMME et sélectionner une plage de cellules</t>
        </is>
      </c>
    </row>
    <row r="9" ht="14" customHeight="1">
      <c r="B9" s="5" t="inlineStr">
        <is>
          <t>À quoi ça sert dans le métier</t>
        </is>
      </c>
      <c r="C9" s="6" t="inlineStr">
        <is>
          <t>Totaliser les colis de chaque palette, puis l'ensemble de la mise en stock.</t>
        </is>
      </c>
    </row>
    <row r="11">
      <c r="B11" s="5" t="inlineStr">
        <is>
          <t>Vocabulaire à connaître</t>
        </is>
      </c>
    </row>
    <row r="12" ht="27" customHeight="1">
      <c r="B12" s="7" t="inlineStr">
        <is>
          <t>Plage de cellules</t>
        </is>
      </c>
      <c r="C12" s="6" t="inlineStr">
        <is>
          <t>Un groupe de cellules qui se touchent. On l'écrit avec deux points : D12:D15 veut dire « de D12 jusqu'à D15 ».</t>
        </is>
      </c>
    </row>
    <row r="13" ht="27" customHeight="1">
      <c r="B13" s="7">
        <f>SOMME</f>
        <v/>
      </c>
      <c r="C13" s="6" t="inlineStr">
        <is>
          <t>La fonction qui additionne une plage. =SOMME(D12:D15) additionne les quatre cellules d'un coup, au lieu de taper =D12+D13+D14+D15.</t>
        </is>
      </c>
    </row>
    <row r="15">
      <c r="B15" s="5" t="inlineStr">
        <is>
          <t>Ce que vous devez faire</t>
        </is>
      </c>
    </row>
    <row r="16" ht="14" customHeight="1">
      <c r="B16" s="6" t="inlineStr">
        <is>
          <t>Quatre palettes sont arrivées. Chacune porte quatre références différentes.</t>
        </is>
      </c>
    </row>
    <row r="17" ht="14" customHeight="1">
      <c r="B17" s="6" t="inlineStr">
        <is>
          <t>Sous le tableau, calculez le total de colis de chaque palette avec =SOMME.</t>
        </is>
      </c>
    </row>
    <row r="18" ht="14" customHeight="1">
      <c r="B18" s="6" t="inlineStr">
        <is>
          <t>Pour la palette P-01, les colis sont dans les cellules D12 à D15. Tapez donc :    =SOMME(D12:D15)</t>
        </is>
      </c>
    </row>
    <row r="19" ht="14" customHeight="1">
      <c r="B19" s="6" t="inlineStr">
        <is>
          <t>Faites de même pour les trois autres palettes, en changeant la plage.</t>
        </is>
      </c>
    </row>
    <row r="20" ht="27" customHeight="1">
      <c r="B20" s="6" t="inlineStr">
        <is>
          <t>Enfin, calculez le total général : vous pouvez additionner les quatre sous-totaux, ou faire la somme de toute la colonne d'un coup.</t>
        </is>
      </c>
    </row>
    <row r="22" ht="28" customHeight="1">
      <c r="B22" s="8" t="inlineStr">
        <is>
          <t>Quand vous avez terminé : enregistrez le fichier, revenez sur Prepalog et déposez-le. Vous pouvez le déposer autant de fois que vous voulez — seul votre meilleur résultat est gardé.</t>
        </is>
      </c>
    </row>
    <row r="24">
      <c r="B24" s="9" t="inlineStr">
        <is>
          <t>Entreprise fictive — support pédagogique, lycée Gaston Darboux, Nîmes.</t>
        </is>
      </c>
    </row>
  </sheetData>
  <mergeCells count="6">
    <mergeCell ref="B16:C16"/>
    <mergeCell ref="B19:C19"/>
    <mergeCell ref="B20:C20"/>
    <mergeCell ref="B22:C22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0" customWidth="1" min="4" max="4"/>
  </cols>
  <sheetData>
    <row r="1">
      <c r="A1" s="2" t="inlineStr">
        <is>
          <t>STOCKAVAL</t>
        </is>
      </c>
      <c r="C1" s="10" t="inlineStr">
        <is>
          <t>BORDEREAU DE MISE EN STOCK</t>
        </is>
      </c>
    </row>
    <row r="2">
      <c r="A2" s="1" t="inlineStr">
        <is>
          <t>Plateforme de fournitures d'entrepôt</t>
        </is>
      </c>
      <c r="C2" s="11" t="inlineStr">
        <is>
          <t>MS 2026-0312</t>
        </is>
      </c>
    </row>
    <row r="3">
      <c r="A3" s="1" t="inlineStr">
        <is>
          <t>12 rue des Lauriers — ZA de la Plaine — 30000 Nîmes</t>
        </is>
      </c>
      <c r="C3" s="12" t="inlineStr">
        <is>
          <t>mardi 17 mars 2026 — 10 h 00</t>
        </is>
      </c>
    </row>
    <row r="4">
      <c r="A4" s="1" t="inlineStr">
        <is>
          <t>Tél. 04 66 00 00 00 — SIRET 000 000 000 00000</t>
        </is>
      </c>
    </row>
    <row r="6">
      <c r="A6" s="3" t="inlineStr">
        <is>
          <t>ÉMIS PAR</t>
        </is>
      </c>
    </row>
    <row r="7">
      <c r="A7" s="13" t="inlineStr">
        <is>
          <t>STOCKAVAL</t>
        </is>
      </c>
    </row>
    <row r="8">
      <c r="A8" s="14" t="inlineStr">
        <is>
          <t>12 rue des Lauriers — ZA de la Plaine</t>
        </is>
      </c>
    </row>
    <row r="9">
      <c r="A9" s="14" t="inlineStr">
        <is>
          <t>30000 Nîmes</t>
        </is>
      </c>
    </row>
    <row r="10">
      <c r="A10" s="15" t="n"/>
      <c r="B10" s="15" t="n"/>
      <c r="C10" s="15" t="n"/>
      <c r="D10" s="15" t="n"/>
    </row>
    <row r="11" ht="22" customHeight="1">
      <c r="A11" s="16" t="inlineStr">
        <is>
          <t>Palette</t>
        </is>
      </c>
      <c r="B11" s="16" t="inlineStr">
        <is>
          <t>Référence</t>
        </is>
      </c>
      <c r="C11" s="16" t="inlineStr">
        <is>
          <t>Désignation</t>
        </is>
      </c>
      <c r="D11" s="16" t="inlineStr">
        <is>
          <t>Colis</t>
        </is>
      </c>
    </row>
    <row r="12">
      <c r="A12" s="17" t="inlineStr">
        <is>
          <t>P-01</t>
        </is>
      </c>
      <c r="B12" s="17" t="inlineStr">
        <is>
          <t>EPI-110</t>
        </is>
      </c>
      <c r="C12" s="17" t="inlineStr">
        <is>
          <t>Gants de manutention taille 9</t>
        </is>
      </c>
      <c r="D12" s="18" t="n">
        <v>6</v>
      </c>
    </row>
    <row r="13">
      <c r="A13" s="17" t="inlineStr">
        <is>
          <t>P-01</t>
        </is>
      </c>
      <c r="B13" s="17" t="inlineStr">
        <is>
          <t>EPI-120</t>
        </is>
      </c>
      <c r="C13" s="17" t="inlineStr">
        <is>
          <t>Casque de chantier blanc</t>
        </is>
      </c>
      <c r="D13" s="18" t="n">
        <v>4</v>
      </c>
    </row>
    <row r="14">
      <c r="A14" s="17" t="inlineStr">
        <is>
          <t>P-01</t>
        </is>
      </c>
      <c r="B14" s="17" t="inlineStr">
        <is>
          <t>EMB-230</t>
        </is>
      </c>
      <c r="C14" s="17" t="inlineStr">
        <is>
          <t>Ruban adhésif PP 50 mm</t>
        </is>
      </c>
      <c r="D14" s="18" t="n">
        <v>12</v>
      </c>
    </row>
    <row r="15">
      <c r="A15" s="17" t="inlineStr">
        <is>
          <t>P-01</t>
        </is>
      </c>
      <c r="B15" s="17" t="inlineStr">
        <is>
          <t>OUT-320</t>
        </is>
      </c>
      <c r="C15" s="17" t="inlineStr">
        <is>
          <t>Cutter de sécurité</t>
        </is>
      </c>
      <c r="D15" s="18" t="n">
        <v>5</v>
      </c>
    </row>
    <row r="16">
      <c r="A16" s="17" t="inlineStr">
        <is>
          <t>P-02</t>
        </is>
      </c>
      <c r="B16" s="17" t="inlineStr">
        <is>
          <t>EMB-210</t>
        </is>
      </c>
      <c r="C16" s="17" t="inlineStr">
        <is>
          <t>Carton double cannelure 40x30x30</t>
        </is>
      </c>
      <c r="D16" s="18" t="n">
        <v>50</v>
      </c>
    </row>
    <row r="17">
      <c r="A17" s="17" t="inlineStr">
        <is>
          <t>P-02</t>
        </is>
      </c>
      <c r="B17" s="17" t="inlineStr">
        <is>
          <t>EMB-220</t>
        </is>
      </c>
      <c r="C17" s="17" t="inlineStr">
        <is>
          <t>Film étirable 450 mm</t>
        </is>
      </c>
      <c r="D17" s="18" t="n">
        <v>4</v>
      </c>
    </row>
    <row r="18">
      <c r="A18" s="17" t="inlineStr">
        <is>
          <t>P-02</t>
        </is>
      </c>
      <c r="B18" s="17" t="inlineStr">
        <is>
          <t>EPI-130</t>
        </is>
      </c>
      <c r="C18" s="17" t="inlineStr">
        <is>
          <t>Chaussures de sécurité S3 T42</t>
        </is>
      </c>
      <c r="D18" s="18" t="n">
        <v>2</v>
      </c>
    </row>
    <row r="19">
      <c r="A19" s="17" t="inlineStr">
        <is>
          <t>P-02</t>
        </is>
      </c>
      <c r="B19" s="17" t="inlineStr">
        <is>
          <t>OUT-320</t>
        </is>
      </c>
      <c r="C19" s="17" t="inlineStr">
        <is>
          <t>Cutter de sécurité</t>
        </is>
      </c>
      <c r="D19" s="18" t="n">
        <v>3</v>
      </c>
    </row>
    <row r="20">
      <c r="A20" s="17" t="inlineStr">
        <is>
          <t>P-03</t>
        </is>
      </c>
      <c r="B20" s="17" t="inlineStr">
        <is>
          <t>EMB-210</t>
        </is>
      </c>
      <c r="C20" s="17" t="inlineStr">
        <is>
          <t>Carton double cannelure 40x30x30</t>
        </is>
      </c>
      <c r="D20" s="18" t="n">
        <v>60</v>
      </c>
    </row>
    <row r="21">
      <c r="A21" s="17" t="inlineStr">
        <is>
          <t>P-03</t>
        </is>
      </c>
      <c r="B21" s="17" t="inlineStr">
        <is>
          <t>EMB-230</t>
        </is>
      </c>
      <c r="C21" s="17" t="inlineStr">
        <is>
          <t>Ruban adhésif PP 50 mm</t>
        </is>
      </c>
      <c r="D21" s="18" t="n">
        <v>10</v>
      </c>
    </row>
    <row r="22">
      <c r="A22" s="17" t="inlineStr">
        <is>
          <t>P-03</t>
        </is>
      </c>
      <c r="B22" s="17" t="inlineStr">
        <is>
          <t>EPI-110</t>
        </is>
      </c>
      <c r="C22" s="17" t="inlineStr">
        <is>
          <t>Gants de manutention taille 9</t>
        </is>
      </c>
      <c r="D22" s="18" t="n">
        <v>8</v>
      </c>
    </row>
    <row r="23">
      <c r="A23" s="17" t="inlineStr">
        <is>
          <t>P-03</t>
        </is>
      </c>
      <c r="B23" s="17" t="inlineStr">
        <is>
          <t>EMB-220</t>
        </is>
      </c>
      <c r="C23" s="17" t="inlineStr">
        <is>
          <t>Film étirable 450 mm</t>
        </is>
      </c>
      <c r="D23" s="18" t="n">
        <v>3</v>
      </c>
    </row>
    <row r="24">
      <c r="A24" s="17" t="inlineStr">
        <is>
          <t>P-04</t>
        </is>
      </c>
      <c r="B24" s="17" t="inlineStr">
        <is>
          <t>EPI-120</t>
        </is>
      </c>
      <c r="C24" s="17" t="inlineStr">
        <is>
          <t>Casque de chantier blanc</t>
        </is>
      </c>
      <c r="D24" s="18" t="n">
        <v>5</v>
      </c>
    </row>
    <row r="25">
      <c r="A25" s="17" t="inlineStr">
        <is>
          <t>P-04</t>
        </is>
      </c>
      <c r="B25" s="17" t="inlineStr">
        <is>
          <t>EPI-130</t>
        </is>
      </c>
      <c r="C25" s="17" t="inlineStr">
        <is>
          <t>Chaussures de sécurité S3 T42</t>
        </is>
      </c>
      <c r="D25" s="18" t="n">
        <v>4</v>
      </c>
    </row>
    <row r="26">
      <c r="A26" s="17" t="inlineStr">
        <is>
          <t>P-04</t>
        </is>
      </c>
      <c r="B26" s="17" t="inlineStr">
        <is>
          <t>OUT-310</t>
        </is>
      </c>
      <c r="C26" s="17" t="inlineStr">
        <is>
          <t>Transpalette manuel 2,5 t</t>
        </is>
      </c>
      <c r="D26" s="18" t="n">
        <v>1</v>
      </c>
    </row>
    <row r="27">
      <c r="A27" s="17" t="inlineStr">
        <is>
          <t>P-04</t>
        </is>
      </c>
      <c r="B27" s="17" t="inlineStr">
        <is>
          <t>EMB-210</t>
        </is>
      </c>
      <c r="C27" s="17" t="inlineStr">
        <is>
          <t>Carton double cannelure 40x30x30</t>
        </is>
      </c>
      <c r="D27" s="18" t="n">
        <v>40</v>
      </c>
    </row>
    <row r="29">
      <c r="A29" s="3" t="inlineStr">
        <is>
          <t>À CALCULER</t>
        </is>
      </c>
    </row>
    <row r="30">
      <c r="A30" s="19" t="inlineStr">
        <is>
          <t>Total palette P-01</t>
        </is>
      </c>
      <c r="C30" s="20" t="n"/>
    </row>
    <row r="31">
      <c r="A31" s="19" t="inlineStr">
        <is>
          <t>Total palette P-02</t>
        </is>
      </c>
      <c r="C31" s="20" t="n"/>
    </row>
    <row r="32">
      <c r="A32" s="19" t="inlineStr">
        <is>
          <t>Total palette P-03</t>
        </is>
      </c>
      <c r="C32" s="20" t="n"/>
    </row>
    <row r="33">
      <c r="A33" s="19" t="inlineStr">
        <is>
          <t>Total palette P-04</t>
        </is>
      </c>
      <c r="C33" s="20" t="n"/>
    </row>
    <row r="34">
      <c r="A34" s="19" t="inlineStr">
        <is>
          <t>TOTAL des colis mis en stock</t>
        </is>
      </c>
      <c r="C34" s="20" t="n"/>
    </row>
    <row r="36">
      <c r="A36" s="15" t="n"/>
      <c r="B36" s="15" t="n"/>
      <c r="C36" s="15" t="n"/>
      <c r="D36" s="15" t="n"/>
    </row>
    <row r="37">
      <c r="A37" s="9" t="inlineStr">
        <is>
          <t>Entreprise fictive — support pédagogique, lycée Gaston Darboux, Nîmes.</t>
        </is>
      </c>
    </row>
  </sheetData>
  <mergeCells count="9">
    <mergeCell ref="A31:B31"/>
    <mergeCell ref="A30:B30"/>
    <mergeCell ref="A37:D37"/>
    <mergeCell ref="C2:D2"/>
    <mergeCell ref="C1:D1"/>
    <mergeCell ref="A33:B33"/>
    <mergeCell ref="A32:B32"/>
    <mergeCell ref="C3:D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Prepalog</dc:creator>
  <dc:title xmlns:dc="http://purl.org/dc/elements/1.1/">cap04 — Quatre palettes à ranger : combien de colis ?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