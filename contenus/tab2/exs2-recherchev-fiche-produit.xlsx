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ignes" sheetId="1" state="visible" r:id="rId1"/>
    <sheet xmlns:r="http://schemas.openxmlformats.org/officeDocument/2006/relationships" name="Exercice" sheetId="2" state="visible" r:id="rId2"/>
    <sheet xmlns:r="http://schemas.openxmlformats.org/officeDocument/2006/relationships" name="Correction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color rgb="0057544C"/>
      <sz val="10"/>
    </font>
    <font>
      <name val="Calibri"/>
      <b val="1"/>
      <color rgb="00D9530F"/>
      <sz val="16"/>
    </font>
    <font>
      <name val="Calibri"/>
      <i val="1"/>
      <color rgb="0057544C"/>
      <sz val="11"/>
    </font>
    <font>
      <b val="1"/>
      <color rgb="0033505D"/>
      <sz val="12"/>
    </font>
    <font>
      <name val="Calibri"/>
      <sz val="11"/>
    </font>
    <font>
      <b val="1"/>
    </font>
    <font>
      <name val="Calibri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211F1A"/>
        <bgColor rgb="00211F1A"/>
      </patternFill>
    </fill>
    <fill>
      <patternFill patternType="solid">
        <fgColor rgb="00FFF3E9"/>
        <bgColor rgb="00FFF3E9"/>
      </patternFill>
    </fill>
    <fill>
      <patternFill patternType="solid">
        <fgColor rgb="00EEF3F4"/>
        <bgColor rgb="00EEF3F4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medium">
        <color rgb="00D9530F"/>
      </left>
      <right style="medium">
        <color rgb="00D9530F"/>
      </right>
      <top style="medium">
        <color rgb="00D9530F"/>
      </top>
      <bottom style="medium">
        <color rgb="00D9530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7" fillId="2" borderId="1" pivotButton="0" quotePrefix="0" xfId="0"/>
    <xf numFmtId="0" fontId="5" fillId="0" borderId="1" pivotButton="0" quotePrefix="0" xfId="0"/>
    <xf numFmtId="0" fontId="5" fillId="3" borderId="2" pivotButton="0" quotePrefix="0" xfId="0"/>
    <xf numFmtId="0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LYCÉE GASTON DARBOUX — NÎMES</t>
        </is>
      </c>
    </row>
    <row r="2">
      <c r="A2" s="2" t="inlineStr">
        <is>
          <t>EXS-2 — Compléter une fiche produit avec RECHERCHEV</t>
        </is>
      </c>
    </row>
    <row r="3">
      <c r="A3" s="3" t="inlineStr">
        <is>
          <t>Bac Pro Métiers de la Logistique — Excel intermédiaire : gestion des stocks</t>
        </is>
      </c>
    </row>
    <row r="4"/>
    <row r="5">
      <c r="A5" s="4" t="inlineStr">
        <is>
          <t>Objectif</t>
        </is>
      </c>
    </row>
    <row r="6" ht="30" customHeight="1">
      <c r="A6" s="5" t="inlineStr">
        <is>
          <t>Utiliser plusieurs RECHERCHEV pour retrouver, en une fois, plusieurs informations différentes associées à une même référence.</t>
        </is>
      </c>
    </row>
    <row r="7"/>
    <row r="8"/>
    <row r="9">
      <c r="A9" s="4" t="inlineStr">
        <is>
          <t>Comment ça marche</t>
        </is>
      </c>
    </row>
    <row r="10" ht="48" customHeight="1">
      <c r="A10" s="5" t="inlineStr">
        <is>
          <t>La fonction RECHERCHEV cherche une valeur dans la première colonne d'un tableau de référence, et ramène une information associée trouvée sur la même ligne, dans une autre colonne. Syntaxe : =RECHERCHEV(valeur cherchée; tableau où chercher; numéro de la colonne à ramener; FAUX). Pensez à figer le tableau de référence avec les touches F4 avant de recopier la formule vers le bas.</t>
        </is>
      </c>
    </row>
    <row r="11" ht="48" customHeight="1">
      <c r="A11" s="5" t="inlineStr">
        <is>
          <t>Le numéro de colonne à ramener change selon l'information voulue : la Désignation est en colonne 2 du catalogue, la Catégorie en colonne 3, le Fournisseur en colonne 5. Seul ce numéro change d'une formule à l'autre ; le reste de la formule est identique.</t>
        </is>
      </c>
    </row>
    <row r="12"/>
    <row r="13">
      <c r="A13" s="4" t="inlineStr">
        <is>
          <t>Ce que vous devez faire</t>
        </is>
      </c>
    </row>
    <row r="14" ht="30" customHeight="1">
      <c r="A14" s="6" t="inlineStr">
        <is>
          <t>1.</t>
        </is>
      </c>
      <c r="B14" s="5" t="inlineStr">
        <is>
          <t>Allez dans l'onglet « Exercice ». Le catalogue complet est fourni à droite (colonnes F à J).</t>
        </is>
      </c>
    </row>
    <row r="15" ht="30" customHeight="1">
      <c r="A15" s="6" t="inlineStr">
        <is>
          <t>2.</t>
        </is>
      </c>
      <c r="B15" s="5" t="inlineStr">
        <is>
          <t>Pour chacune des 8 références de la colonne A, complétez la Désignation, la Catégorie et le Fournisseur à l'aide de RECHERCHEV (une formule différente par colonne, avec le bon numéro de colonne à ramener).</t>
        </is>
      </c>
    </row>
    <row r="16" ht="30" customHeight="1">
      <c r="A16" s="6" t="inlineStr">
        <is>
          <t>3.</t>
        </is>
      </c>
      <c r="B16" s="5" t="inlineStr">
        <is>
          <t>Recopiez vos formules vers le bas.</t>
        </is>
      </c>
    </row>
  </sheetData>
  <mergeCells count="6">
    <mergeCell ref="B16:G16"/>
    <mergeCell ref="B14:G14"/>
    <mergeCell ref="A11:G11"/>
    <mergeCell ref="B15:G15"/>
    <mergeCell ref="A10:G10"/>
    <mergeCell ref="A6:G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14" customWidth="1" min="3" max="3"/>
    <col width="18" customWidth="1" min="4" max="4"/>
    <col width="2" customWidth="1" min="5" max="5"/>
    <col width="12" customWidth="1" min="6" max="6"/>
    <col width="26" customWidth="1" min="7" max="7"/>
    <col width="14" customWidth="1" min="8" max="8"/>
    <col width="16" customWidth="1" min="9" max="9"/>
    <col width="18" customWidth="1" min="10" max="10"/>
  </cols>
  <sheetData>
    <row r="1">
      <c r="A1" s="7" t="inlineStr">
        <is>
          <t>Référence</t>
        </is>
      </c>
      <c r="B1" s="7" t="inlineStr">
        <is>
          <t>Désignation</t>
        </is>
      </c>
      <c r="C1" s="7" t="inlineStr">
        <is>
          <t>Catégorie</t>
        </is>
      </c>
      <c r="D1" s="7" t="inlineStr">
        <is>
          <t>Fournisseur</t>
        </is>
      </c>
      <c r="F1" s="8" t="inlineStr">
        <is>
          <t>Référence</t>
        </is>
      </c>
      <c r="G1" s="8" t="inlineStr">
        <is>
          <t>Désignation</t>
        </is>
      </c>
      <c r="H1" s="8" t="inlineStr">
        <is>
          <t>Catégorie</t>
        </is>
      </c>
      <c r="I1" s="8" t="inlineStr">
        <is>
          <t>Prix unitaire (€)</t>
        </is>
      </c>
      <c r="J1" s="8" t="inlineStr">
        <is>
          <t>Fournisseur</t>
        </is>
      </c>
    </row>
    <row r="2">
      <c r="A2" s="9" t="inlineStr">
        <is>
          <t>REF109</t>
        </is>
      </c>
      <c r="B2" s="10" t="n"/>
      <c r="C2" s="10" t="n"/>
      <c r="D2" s="10" t="n"/>
      <c r="F2" s="11" t="inlineStr">
        <is>
          <t>REF101</t>
        </is>
      </c>
      <c r="G2" s="11" t="inlineStr">
        <is>
          <t>Palette Europe</t>
        </is>
      </c>
      <c r="H2" s="11" t="inlineStr">
        <is>
          <t>Bois</t>
        </is>
      </c>
      <c r="I2" s="11" t="n">
        <v>25</v>
      </c>
      <c r="J2" s="11" t="inlineStr">
        <is>
          <t>FournisseurPalettes</t>
        </is>
      </c>
    </row>
    <row r="3">
      <c r="A3" s="9" t="inlineStr">
        <is>
          <t>REF103</t>
        </is>
      </c>
      <c r="B3" s="10" t="n"/>
      <c r="C3" s="10" t="n"/>
      <c r="D3" s="10" t="n"/>
      <c r="F3" s="11" t="inlineStr">
        <is>
          <t>REF102</t>
        </is>
      </c>
      <c r="G3" s="11" t="inlineStr">
        <is>
          <t>Carton simple cannelure</t>
        </is>
      </c>
      <c r="H3" s="11" t="inlineStr">
        <is>
          <t>Emballage</t>
        </is>
      </c>
      <c r="I3" s="11" t="n">
        <v>1.8</v>
      </c>
      <c r="J3" s="11" t="inlineStr">
        <is>
          <t>CartonPlus</t>
        </is>
      </c>
    </row>
    <row r="4">
      <c r="A4" s="9" t="inlineStr">
        <is>
          <t>REF107</t>
        </is>
      </c>
      <c r="B4" s="10" t="n"/>
      <c r="C4" s="10" t="n"/>
      <c r="D4" s="10" t="n"/>
      <c r="F4" s="11" t="inlineStr">
        <is>
          <t>REF103</t>
        </is>
      </c>
      <c r="G4" s="11" t="inlineStr">
        <is>
          <t>Film étirable</t>
        </is>
      </c>
      <c r="H4" s="11" t="inlineStr">
        <is>
          <t>Emballage</t>
        </is>
      </c>
      <c r="I4" s="11" t="n">
        <v>15.8</v>
      </c>
      <c r="J4" s="11" t="inlineStr">
        <is>
          <t>EmballagePro</t>
        </is>
      </c>
    </row>
    <row r="5">
      <c r="A5" s="9" t="inlineStr">
        <is>
          <t>REF102</t>
        </is>
      </c>
      <c r="B5" s="10" t="n"/>
      <c r="C5" s="10" t="n"/>
      <c r="D5" s="10" t="n"/>
      <c r="F5" s="11" t="inlineStr">
        <is>
          <t>REF104</t>
        </is>
      </c>
      <c r="G5" s="11" t="inlineStr">
        <is>
          <t>Casque de chantier</t>
        </is>
      </c>
      <c r="H5" s="11" t="inlineStr">
        <is>
          <t>EPI</t>
        </is>
      </c>
      <c r="I5" s="11" t="n">
        <v>12.5</v>
      </c>
      <c r="J5" s="11" t="inlineStr">
        <is>
          <t>SecuEquip</t>
        </is>
      </c>
    </row>
    <row r="6">
      <c r="A6" s="9" t="inlineStr">
        <is>
          <t>REF111</t>
        </is>
      </c>
      <c r="B6" s="10" t="n"/>
      <c r="C6" s="10" t="n"/>
      <c r="D6" s="10" t="n"/>
      <c r="F6" s="11" t="inlineStr">
        <is>
          <t>REF105</t>
        </is>
      </c>
      <c r="G6" s="11" t="inlineStr">
        <is>
          <t>Gants de manutention</t>
        </is>
      </c>
      <c r="H6" s="11" t="inlineStr">
        <is>
          <t>EPI</t>
        </is>
      </c>
      <c r="I6" s="11" t="n">
        <v>4.2</v>
      </c>
      <c r="J6" s="11" t="inlineStr">
        <is>
          <t>SecuEquip</t>
        </is>
      </c>
    </row>
    <row r="7">
      <c r="A7" s="9" t="inlineStr">
        <is>
          <t>REF105</t>
        </is>
      </c>
      <c r="B7" s="10" t="n"/>
      <c r="C7" s="10" t="n"/>
      <c r="D7" s="10" t="n"/>
      <c r="F7" s="11" t="inlineStr">
        <is>
          <t>REF106</t>
        </is>
      </c>
      <c r="G7" s="11" t="inlineStr">
        <is>
          <t>Transpalette manuel</t>
        </is>
      </c>
      <c r="H7" s="11" t="inlineStr">
        <is>
          <t>Matériel</t>
        </is>
      </c>
      <c r="I7" s="11" t="n">
        <v>350</v>
      </c>
      <c r="J7" s="11" t="inlineStr">
        <is>
          <t>LogiMat</t>
        </is>
      </c>
    </row>
    <row r="8">
      <c r="A8" s="9" t="inlineStr">
        <is>
          <t>REF110</t>
        </is>
      </c>
      <c r="B8" s="10" t="n"/>
      <c r="C8" s="10" t="n"/>
      <c r="D8" s="10" t="n"/>
      <c r="F8" s="11" t="inlineStr">
        <is>
          <t>REF107</t>
        </is>
      </c>
      <c r="G8" s="11" t="inlineStr">
        <is>
          <t>Chariot élévateur électrique</t>
        </is>
      </c>
      <c r="H8" s="11" t="inlineStr">
        <is>
          <t>Matériel</t>
        </is>
      </c>
      <c r="I8" s="11" t="n">
        <v>18500</v>
      </c>
      <c r="J8" s="11" t="inlineStr">
        <is>
          <t>LogiMat</t>
        </is>
      </c>
    </row>
    <row r="9">
      <c r="A9" s="9" t="inlineStr">
        <is>
          <t>REF112</t>
        </is>
      </c>
      <c r="B9" s="10" t="n"/>
      <c r="C9" s="10" t="n"/>
      <c r="D9" s="10" t="n"/>
      <c r="F9" s="11" t="inlineStr">
        <is>
          <t>REF108</t>
        </is>
      </c>
      <c r="G9" s="11" t="inlineStr">
        <is>
          <t>Étiquette code-barres</t>
        </is>
      </c>
      <c r="H9" s="11" t="inlineStr">
        <is>
          <t>Emballage</t>
        </is>
      </c>
      <c r="I9" s="11" t="n">
        <v>9.9</v>
      </c>
      <c r="J9" s="11" t="inlineStr">
        <is>
          <t>EmballagePro</t>
        </is>
      </c>
    </row>
    <row r="10">
      <c r="F10" s="11" t="inlineStr">
        <is>
          <t>REF109</t>
        </is>
      </c>
      <c r="G10" s="11" t="inlineStr">
        <is>
          <t>Chaussures de sécurité</t>
        </is>
      </c>
      <c r="H10" s="11" t="inlineStr">
        <is>
          <t>EPI</t>
        </is>
      </c>
      <c r="I10" s="11" t="n">
        <v>45</v>
      </c>
      <c r="J10" s="11" t="inlineStr">
        <is>
          <t>SecuEquip</t>
        </is>
      </c>
    </row>
    <row r="11">
      <c r="F11" s="11" t="inlineStr">
        <is>
          <t>REF110</t>
        </is>
      </c>
      <c r="G11" s="11" t="inlineStr">
        <is>
          <t>Sangle d'arrimage</t>
        </is>
      </c>
      <c r="H11" s="11" t="inlineStr">
        <is>
          <t>Accessoire</t>
        </is>
      </c>
      <c r="I11" s="11" t="n">
        <v>11.4</v>
      </c>
      <c r="J11" s="11" t="inlineStr">
        <is>
          <t>LogiMat</t>
        </is>
      </c>
    </row>
    <row r="12">
      <c r="F12" s="11" t="inlineStr">
        <is>
          <t>REF111</t>
        </is>
      </c>
      <c r="G12" s="11" t="inlineStr">
        <is>
          <t>Cadenas de sécurité</t>
        </is>
      </c>
      <c r="H12" s="11" t="inlineStr">
        <is>
          <t>Accessoire</t>
        </is>
      </c>
      <c r="I12" s="11" t="n">
        <v>7.6</v>
      </c>
      <c r="J12" s="11" t="inlineStr">
        <is>
          <t>SecuEquip</t>
        </is>
      </c>
    </row>
    <row r="13">
      <c r="F13" s="11" t="inlineStr">
        <is>
          <t>REF112</t>
        </is>
      </c>
      <c r="G13" s="11" t="inlineStr">
        <is>
          <t>Extincteur portatif</t>
        </is>
      </c>
      <c r="H13" s="11" t="inlineStr">
        <is>
          <t>Sécurité</t>
        </is>
      </c>
      <c r="I13" s="11" t="n">
        <v>65</v>
      </c>
      <c r="J13" s="11" t="inlineStr">
        <is>
          <t>SecuEquip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Référence</t>
        </is>
      </c>
      <c r="B1" t="inlineStr">
        <is>
          <t>Désignation</t>
        </is>
      </c>
      <c r="C1" t="inlineStr">
        <is>
          <t>Catégorie</t>
        </is>
      </c>
      <c r="D1" t="inlineStr">
        <is>
          <t>Fournisseur</t>
        </is>
      </c>
    </row>
    <row r="2">
      <c r="A2" t="inlineStr">
        <is>
          <t>REF109</t>
        </is>
      </c>
      <c r="B2">
        <f>VLOOKUP(A2,$F$2:$J$13,2,FALSE)</f>
        <v/>
      </c>
      <c r="C2">
        <f>VLOOKUP(A2,$F$2:$J$13,3,FALSE)</f>
        <v/>
      </c>
      <c r="D2">
        <f>VLOOKUP(A2,$F$2:$J$13,5,FALSE)</f>
        <v/>
      </c>
      <c r="F2" t="inlineStr">
        <is>
          <t>REF101</t>
        </is>
      </c>
      <c r="G2" t="inlineStr">
        <is>
          <t>Palette Europe</t>
        </is>
      </c>
      <c r="H2" t="inlineStr">
        <is>
          <t>Bois</t>
        </is>
      </c>
      <c r="I2" t="n">
        <v>25</v>
      </c>
      <c r="J2" t="inlineStr">
        <is>
          <t>FournisseurPalettes</t>
        </is>
      </c>
    </row>
    <row r="3">
      <c r="A3" t="inlineStr">
        <is>
          <t>REF103</t>
        </is>
      </c>
      <c r="B3">
        <f>VLOOKUP(A3,$F$2:$J$13,2,FALSE)</f>
        <v/>
      </c>
      <c r="C3">
        <f>VLOOKUP(A3,$F$2:$J$13,3,FALSE)</f>
        <v/>
      </c>
      <c r="D3">
        <f>VLOOKUP(A3,$F$2:$J$13,5,FALSE)</f>
        <v/>
      </c>
      <c r="F3" t="inlineStr">
        <is>
          <t>REF102</t>
        </is>
      </c>
      <c r="G3" t="inlineStr">
        <is>
          <t>Carton simple cannelure</t>
        </is>
      </c>
      <c r="H3" t="inlineStr">
        <is>
          <t>Emballage</t>
        </is>
      </c>
      <c r="I3" t="n">
        <v>1.8</v>
      </c>
      <c r="J3" t="inlineStr">
        <is>
          <t>CartonPlus</t>
        </is>
      </c>
    </row>
    <row r="4">
      <c r="A4" t="inlineStr">
        <is>
          <t>REF107</t>
        </is>
      </c>
      <c r="B4">
        <f>VLOOKUP(A4,$F$2:$J$13,2,FALSE)</f>
        <v/>
      </c>
      <c r="C4">
        <f>VLOOKUP(A4,$F$2:$J$13,3,FALSE)</f>
        <v/>
      </c>
      <c r="D4">
        <f>VLOOKUP(A4,$F$2:$J$13,5,FALSE)</f>
        <v/>
      </c>
      <c r="F4" t="inlineStr">
        <is>
          <t>REF103</t>
        </is>
      </c>
      <c r="G4" t="inlineStr">
        <is>
          <t>Film étirable</t>
        </is>
      </c>
      <c r="H4" t="inlineStr">
        <is>
          <t>Emballage</t>
        </is>
      </c>
      <c r="I4" t="n">
        <v>15.8</v>
      </c>
      <c r="J4" t="inlineStr">
        <is>
          <t>EmballagePro</t>
        </is>
      </c>
    </row>
    <row r="5">
      <c r="A5" t="inlineStr">
        <is>
          <t>REF102</t>
        </is>
      </c>
      <c r="B5">
        <f>VLOOKUP(A5,$F$2:$J$13,2,FALSE)</f>
        <v/>
      </c>
      <c r="C5">
        <f>VLOOKUP(A5,$F$2:$J$13,3,FALSE)</f>
        <v/>
      </c>
      <c r="D5">
        <f>VLOOKUP(A5,$F$2:$J$13,5,FALSE)</f>
        <v/>
      </c>
      <c r="F5" t="inlineStr">
        <is>
          <t>REF104</t>
        </is>
      </c>
      <c r="G5" t="inlineStr">
        <is>
          <t>Casque de chantier</t>
        </is>
      </c>
      <c r="H5" t="inlineStr">
        <is>
          <t>EPI</t>
        </is>
      </c>
      <c r="I5" t="n">
        <v>12.5</v>
      </c>
      <c r="J5" t="inlineStr">
        <is>
          <t>SecuEquip</t>
        </is>
      </c>
    </row>
    <row r="6">
      <c r="A6" t="inlineStr">
        <is>
          <t>REF111</t>
        </is>
      </c>
      <c r="B6">
        <f>VLOOKUP(A6,$F$2:$J$13,2,FALSE)</f>
        <v/>
      </c>
      <c r="C6">
        <f>VLOOKUP(A6,$F$2:$J$13,3,FALSE)</f>
        <v/>
      </c>
      <c r="D6">
        <f>VLOOKUP(A6,$F$2:$J$13,5,FALSE)</f>
        <v/>
      </c>
      <c r="F6" t="inlineStr">
        <is>
          <t>REF105</t>
        </is>
      </c>
      <c r="G6" t="inlineStr">
        <is>
          <t>Gants de manutention</t>
        </is>
      </c>
      <c r="H6" t="inlineStr">
        <is>
          <t>EPI</t>
        </is>
      </c>
      <c r="I6" t="n">
        <v>4.2</v>
      </c>
      <c r="J6" t="inlineStr">
        <is>
          <t>SecuEquip</t>
        </is>
      </c>
    </row>
    <row r="7">
      <c r="A7" t="inlineStr">
        <is>
          <t>REF105</t>
        </is>
      </c>
      <c r="B7">
        <f>VLOOKUP(A7,$F$2:$J$13,2,FALSE)</f>
        <v/>
      </c>
      <c r="C7">
        <f>VLOOKUP(A7,$F$2:$J$13,3,FALSE)</f>
        <v/>
      </c>
      <c r="D7">
        <f>VLOOKUP(A7,$F$2:$J$13,5,FALSE)</f>
        <v/>
      </c>
      <c r="F7" t="inlineStr">
        <is>
          <t>REF106</t>
        </is>
      </c>
      <c r="G7" t="inlineStr">
        <is>
          <t>Transpalette manuel</t>
        </is>
      </c>
      <c r="H7" t="inlineStr">
        <is>
          <t>Matériel</t>
        </is>
      </c>
      <c r="I7" t="n">
        <v>350</v>
      </c>
      <c r="J7" t="inlineStr">
        <is>
          <t>LogiMat</t>
        </is>
      </c>
    </row>
    <row r="8">
      <c r="A8" t="inlineStr">
        <is>
          <t>REF110</t>
        </is>
      </c>
      <c r="B8">
        <f>VLOOKUP(A8,$F$2:$J$13,2,FALSE)</f>
        <v/>
      </c>
      <c r="C8">
        <f>VLOOKUP(A8,$F$2:$J$13,3,FALSE)</f>
        <v/>
      </c>
      <c r="D8">
        <f>VLOOKUP(A8,$F$2:$J$13,5,FALSE)</f>
        <v/>
      </c>
      <c r="F8" t="inlineStr">
        <is>
          <t>REF107</t>
        </is>
      </c>
      <c r="G8" t="inlineStr">
        <is>
          <t>Chariot élévateur électrique</t>
        </is>
      </c>
      <c r="H8" t="inlineStr">
        <is>
          <t>Matériel</t>
        </is>
      </c>
      <c r="I8" t="n">
        <v>18500</v>
      </c>
      <c r="J8" t="inlineStr">
        <is>
          <t>LogiMat</t>
        </is>
      </c>
    </row>
    <row r="9">
      <c r="A9" t="inlineStr">
        <is>
          <t>REF112</t>
        </is>
      </c>
      <c r="B9">
        <f>VLOOKUP(A9,$F$2:$J$13,2,FALSE)</f>
        <v/>
      </c>
      <c r="C9">
        <f>VLOOKUP(A9,$F$2:$J$13,3,FALSE)</f>
        <v/>
      </c>
      <c r="D9">
        <f>VLOOKUP(A9,$F$2:$J$13,5,FALSE)</f>
        <v/>
      </c>
      <c r="F9" t="inlineStr">
        <is>
          <t>REF108</t>
        </is>
      </c>
      <c r="G9" t="inlineStr">
        <is>
          <t>Étiquette code-barres</t>
        </is>
      </c>
      <c r="H9" t="inlineStr">
        <is>
          <t>Emballage</t>
        </is>
      </c>
      <c r="I9" t="n">
        <v>9.9</v>
      </c>
      <c r="J9" t="inlineStr">
        <is>
          <t>EmballagePro</t>
        </is>
      </c>
    </row>
    <row r="10">
      <c r="F10" t="inlineStr">
        <is>
          <t>REF109</t>
        </is>
      </c>
      <c r="G10" t="inlineStr">
        <is>
          <t>Chaussures de sécurité</t>
        </is>
      </c>
      <c r="H10" t="inlineStr">
        <is>
          <t>EPI</t>
        </is>
      </c>
      <c r="I10" t="n">
        <v>45</v>
      </c>
      <c r="J10" t="inlineStr">
        <is>
          <t>SecuEquip</t>
        </is>
      </c>
    </row>
    <row r="11">
      <c r="F11" t="inlineStr">
        <is>
          <t>REF110</t>
        </is>
      </c>
      <c r="G11" t="inlineStr">
        <is>
          <t>Sangle d'arrimage</t>
        </is>
      </c>
      <c r="H11" t="inlineStr">
        <is>
          <t>Accessoire</t>
        </is>
      </c>
      <c r="I11" t="n">
        <v>11.4</v>
      </c>
      <c r="J11" t="inlineStr">
        <is>
          <t>LogiMat</t>
        </is>
      </c>
    </row>
    <row r="12">
      <c r="F12" t="inlineStr">
        <is>
          <t>REF111</t>
        </is>
      </c>
      <c r="G12" t="inlineStr">
        <is>
          <t>Cadenas de sécurité</t>
        </is>
      </c>
      <c r="H12" t="inlineStr">
        <is>
          <t>Accessoire</t>
        </is>
      </c>
      <c r="I12" t="n">
        <v>7.6</v>
      </c>
      <c r="J12" t="inlineStr">
        <is>
          <t>SecuEquip</t>
        </is>
      </c>
    </row>
    <row r="13">
      <c r="F13" t="inlineStr">
        <is>
          <t>REF112</t>
        </is>
      </c>
      <c r="G13" t="inlineStr">
        <is>
          <t>Extincteur portatif</t>
        </is>
      </c>
      <c r="H13" t="inlineStr">
        <is>
          <t>Sécurité</t>
        </is>
      </c>
      <c r="I13" t="n">
        <v>65</v>
      </c>
      <c r="J13" t="inlineStr">
        <is>
          <t>SecuEquip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2026-09-12T07:04:01Z</dcterms:created>
  <dcterms:modified xmlns:dcterms="http://purl.org/dc/terms/" xmlns:xsi="http://www.w3.org/2001/XMLSchema-instance" xsi:type="dcterms:W3CDTF">2026-09-21T07:15:17Z</dcterms:modified>
</cp:coreProperties>
</file>