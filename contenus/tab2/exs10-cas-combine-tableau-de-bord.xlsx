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  <sheet xmlns:r="http://schemas.openxmlformats.org/officeDocument/2006/relationships" name="Correctio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b val="1"/>
      <color rgb="00D9530F"/>
      <sz val="12"/>
    </font>
    <font>
      <name val="Calibri"/>
      <i val="1"/>
      <sz val="11"/>
    </font>
    <font>
      <name val="Calibri"/>
      <b val="1"/>
      <color rgb="00FFFFFF"/>
      <sz val="11"/>
    </font>
    <font>
      <b val="1"/>
      <color rgb="00D9530F"/>
      <sz val="13"/>
    </font>
  </fonts>
  <fills count="5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  <fill>
      <patternFill patternType="solid">
        <fgColor rgb="00EEF3F4"/>
        <bgColor rgb="00EEF3F4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pivotButton="0" quotePrefix="0" xfId="0"/>
    <xf numFmtId="0" fontId="5" fillId="0" borderId="1" pivotButton="0" quotePrefix="0" xfId="0"/>
    <xf numFmtId="0" fontId="5" fillId="3" borderId="2" pivotButton="0" quotePrefix="0" xfId="0"/>
    <xf numFmtId="0" fontId="5" fillId="4" borderId="1" pivotButton="0" quotePrefix="0" xfId="0"/>
    <xf numFmtId="0" fontId="10" fillId="0" borderId="0" pivotButton="0" quotePrefix="0" xfId="0"/>
    <xf numFmtId="0" fontId="9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EXS-10 — Tableau de bord de stock complet</t>
        </is>
      </c>
    </row>
    <row r="3">
      <c r="A3" s="3" t="inlineStr">
        <is>
          <t>Bac Pro Métiers de la Logistique — Excel intermédiaire : gestion des stocks</t>
        </is>
      </c>
    </row>
    <row r="4"/>
    <row r="5">
      <c r="A5" s="4" t="inlineStr">
        <is>
          <t>Objectif</t>
        </is>
      </c>
    </row>
    <row r="6" ht="30" customHeight="1">
      <c r="A6" s="5" t="inlineStr">
        <is>
          <t>Combiner dans un seul exercice tout ce qui a été vu : RECHERCHEV (plusieurs colonnes), calcul de valeur, SI, et tableau croisé dynamique.</t>
        </is>
      </c>
    </row>
    <row r="7"/>
    <row r="8"/>
    <row r="9">
      <c r="A9" s="4" t="inlineStr">
        <is>
          <t>Comment ça marche</t>
        </is>
      </c>
    </row>
    <row r="10" ht="48" customHeight="1">
      <c r="A10" s="5" t="inlineStr">
        <is>
          <t>La fonction RECHERCHEV cherche une valeur dans la première colonne d'un tableau de référence, et ramène une information associée trouvée sur la même ligne, dans une autre colonne. Syntaxe : =RECHERCHEV(valeur cherchée; tableau où chercher; numéro de la colonne à ramener; FAUX). Pensez à figer le tableau de référence avec les touches F4 avant de recopier la formule vers le bas.</t>
        </is>
      </c>
    </row>
    <row r="11" ht="48" customHeight="1">
      <c r="A11" s="5" t="inlineStr">
        <is>
          <t>Un tableau croisé dynamique (TCD) permet de regrouper et d'agréger automatiquement de grandes quantités de données. Pour en créer un : sélectionnez toutes les données sources, puis Insertion &gt; Tableau croisé dynamique. Faites glisser le champ à regrouper dans la zone « Lignes », et le champ à calculer dans la zone « Valeurs » (choisissez Somme ou Nombre selon le besoin).</t>
        </is>
      </c>
    </row>
    <row r="12"/>
    <row r="13">
      <c r="A13" s="4" t="inlineStr">
        <is>
          <t>Ce que vous devez faire</t>
        </is>
      </c>
    </row>
    <row r="14" ht="30" customHeight="1">
      <c r="A14" s="6" t="inlineStr">
        <is>
          <t>1.</t>
        </is>
      </c>
      <c r="B14" s="5" t="inlineStr">
        <is>
          <t>Allez dans l'onglet « Exercice ». Le catalogue est fourni à droite (colonnes I à L).</t>
        </is>
      </c>
    </row>
    <row r="15" ht="30" customHeight="1">
      <c r="A15" s="6" t="inlineStr">
        <is>
          <t>2.</t>
        </is>
      </c>
      <c r="B15" s="5" t="inlineStr">
        <is>
          <t>Pour chacune des 10 références, complétez Désignation, Catégorie et Prix unitaire à l'aide de RECHERCHEV.</t>
        </is>
      </c>
    </row>
    <row r="16" ht="30" customHeight="1">
      <c r="A16" s="6" t="inlineStr">
        <is>
          <t>3.</t>
        </is>
      </c>
      <c r="B16" s="5" t="inlineStr">
        <is>
          <t>Calculez la Valeur du stock (Quantité × Prix unitaire).</t>
        </is>
      </c>
    </row>
    <row r="17" ht="30" customHeight="1">
      <c r="A17" s="6" t="inlineStr">
        <is>
          <t>4.</t>
        </is>
      </c>
      <c r="B17" s="5" t="inlineStr">
        <is>
          <t>Dans la colonne Statut, indiquez « À commander » si la quantité est strictement inférieure au seuil d'alerte, sinon « OK ».</t>
        </is>
      </c>
    </row>
    <row r="18" ht="30" customHeight="1">
      <c r="A18" s="6" t="inlineStr">
        <is>
          <t>5.</t>
        </is>
      </c>
      <c r="B18" s="5" t="inlineStr">
        <is>
          <t>Une fois ce tableau complet, créez un tableau croisé dynamique à partir de vos colonnes Catégorie et Valeur du stock (Catégorie en ligne, Somme de Valeur du stock en valeur), puis reportez les 3 totaux dans le tableau « Résultats à reporter ».</t>
        </is>
      </c>
    </row>
    <row r="19"/>
    <row r="20">
      <c r="A20" s="7" t="inlineStr">
        <is>
          <t>Remarque</t>
        </is>
      </c>
    </row>
    <row r="21" ht="30" customHeight="1">
      <c r="A21" s="8" t="inlineStr">
        <is>
          <t>Le TCD lui-même n'est pas noté : seuls les totaux reportés sont vérifiés, mais ils doivent correspondre exactement aux données que vous aurez calculées plus haut.</t>
        </is>
      </c>
    </row>
  </sheetData>
  <mergeCells count="9">
    <mergeCell ref="B16:G16"/>
    <mergeCell ref="B14:G14"/>
    <mergeCell ref="A21:G21"/>
    <mergeCell ref="B17:G17"/>
    <mergeCell ref="B18:G18"/>
    <mergeCell ref="A11:G11"/>
    <mergeCell ref="B15:G15"/>
    <mergeCell ref="A10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4" customWidth="1" min="5" max="5"/>
    <col width="16" customWidth="1" min="6" max="6"/>
    <col width="18" customWidth="1" min="7" max="7"/>
    <col width="16" customWidth="1" min="8" max="8"/>
    <col width="2" customWidth="1" min="9" max="9"/>
    <col width="2" customWidth="1" min="10" max="10"/>
    <col width="12" customWidth="1" min="11" max="11"/>
    <col width="26" customWidth="1" min="12" max="12"/>
    <col width="14" customWidth="1" min="13" max="13"/>
    <col width="16" customWidth="1" min="14" max="14"/>
  </cols>
  <sheetData>
    <row r="1">
      <c r="A1" s="9" t="inlineStr">
        <is>
          <t>Référence</t>
        </is>
      </c>
      <c r="B1" s="9" t="inlineStr">
        <is>
          <t>Quantité en stock</t>
        </is>
      </c>
      <c r="C1" s="9" t="inlineStr">
        <is>
          <t>Seuil d'alerte</t>
        </is>
      </c>
      <c r="D1" s="9" t="inlineStr">
        <is>
          <t>Désignation</t>
        </is>
      </c>
      <c r="E1" s="9" t="inlineStr">
        <is>
          <t>Catégorie</t>
        </is>
      </c>
      <c r="F1" s="9" t="inlineStr">
        <is>
          <t>Prix unitaire (€)</t>
        </is>
      </c>
      <c r="G1" s="9" t="inlineStr">
        <is>
          <t>Valeur du stock (€)</t>
        </is>
      </c>
      <c r="H1" s="9" t="inlineStr">
        <is>
          <t>Statut</t>
        </is>
      </c>
      <c r="J1" s="10" t="inlineStr">
        <is>
          <t>Référence</t>
        </is>
      </c>
      <c r="K1" s="10" t="inlineStr">
        <is>
          <t>Désignation</t>
        </is>
      </c>
      <c r="L1" s="10" t="inlineStr">
        <is>
          <t>Catégorie</t>
        </is>
      </c>
      <c r="M1" s="10" t="inlineStr">
        <is>
          <t>Prix unitaire (€)</t>
        </is>
      </c>
    </row>
    <row r="2">
      <c r="A2" s="11" t="inlineStr">
        <is>
          <t>REF401</t>
        </is>
      </c>
      <c r="B2" s="11" t="n">
        <v>40</v>
      </c>
      <c r="C2" s="11" t="n">
        <v>20</v>
      </c>
      <c r="D2" s="12" t="n"/>
      <c r="E2" s="12" t="n"/>
      <c r="F2" s="12" t="n"/>
      <c r="G2" s="12" t="n"/>
      <c r="H2" s="12" t="n"/>
      <c r="J2" s="13" t="inlineStr">
        <is>
          <t>REF401</t>
        </is>
      </c>
      <c r="K2" s="13" t="inlineStr">
        <is>
          <t>Casque de chantier</t>
        </is>
      </c>
      <c r="L2" s="13" t="inlineStr">
        <is>
          <t>EPI</t>
        </is>
      </c>
      <c r="M2" s="13" t="n">
        <v>12.5</v>
      </c>
    </row>
    <row r="3">
      <c r="A3" s="11" t="inlineStr">
        <is>
          <t>REF402</t>
        </is>
      </c>
      <c r="B3" s="11" t="n">
        <v>15</v>
      </c>
      <c r="C3" s="11" t="n">
        <v>30</v>
      </c>
      <c r="D3" s="12" t="n"/>
      <c r="E3" s="12" t="n"/>
      <c r="F3" s="12" t="n"/>
      <c r="G3" s="12" t="n"/>
      <c r="H3" s="12" t="n"/>
      <c r="J3" s="13" t="inlineStr">
        <is>
          <t>REF402</t>
        </is>
      </c>
      <c r="K3" s="13" t="inlineStr">
        <is>
          <t>Gants de manutention</t>
        </is>
      </c>
      <c r="L3" s="13" t="inlineStr">
        <is>
          <t>EPI</t>
        </is>
      </c>
      <c r="M3" s="13" t="n">
        <v>4.2</v>
      </c>
    </row>
    <row r="4">
      <c r="A4" s="11" t="inlineStr">
        <is>
          <t>REF403</t>
        </is>
      </c>
      <c r="B4" s="11" t="n">
        <v>25</v>
      </c>
      <c r="C4" s="11" t="n">
        <v>10</v>
      </c>
      <c r="D4" s="12" t="n"/>
      <c r="E4" s="12" t="n"/>
      <c r="F4" s="12" t="n"/>
      <c r="G4" s="12" t="n"/>
      <c r="H4" s="12" t="n"/>
      <c r="J4" s="13" t="inlineStr">
        <is>
          <t>REF403</t>
        </is>
      </c>
      <c r="K4" s="13" t="inlineStr">
        <is>
          <t>Chaussures de sécurité</t>
        </is>
      </c>
      <c r="L4" s="13" t="inlineStr">
        <is>
          <t>EPI</t>
        </is>
      </c>
      <c r="M4" s="13" t="n">
        <v>45</v>
      </c>
    </row>
    <row r="5">
      <c r="A5" s="11" t="inlineStr">
        <is>
          <t>REF405</t>
        </is>
      </c>
      <c r="B5" s="11" t="n">
        <v>200</v>
      </c>
      <c r="C5" s="11" t="n">
        <v>100</v>
      </c>
      <c r="D5" s="12" t="n"/>
      <c r="E5" s="12" t="n"/>
      <c r="F5" s="12" t="n"/>
      <c r="G5" s="12" t="n"/>
      <c r="H5" s="12" t="n"/>
      <c r="J5" s="13" t="inlineStr">
        <is>
          <t>REF404</t>
        </is>
      </c>
      <c r="K5" s="13" t="inlineStr">
        <is>
          <t>Lunettes de protection</t>
        </is>
      </c>
      <c r="L5" s="13" t="inlineStr">
        <is>
          <t>EPI</t>
        </is>
      </c>
      <c r="M5" s="13" t="n">
        <v>6.5</v>
      </c>
    </row>
    <row r="6">
      <c r="A6" s="11" t="inlineStr">
        <is>
          <t>REF406</t>
        </is>
      </c>
      <c r="B6" s="11" t="n">
        <v>8</v>
      </c>
      <c r="C6" s="11" t="n">
        <v>15</v>
      </c>
      <c r="D6" s="12" t="n"/>
      <c r="E6" s="12" t="n"/>
      <c r="F6" s="12" t="n"/>
      <c r="G6" s="12" t="n"/>
      <c r="H6" s="12" t="n"/>
      <c r="J6" s="13" t="inlineStr">
        <is>
          <t>REF405</t>
        </is>
      </c>
      <c r="K6" s="13" t="inlineStr">
        <is>
          <t>Carton simple cannelure</t>
        </is>
      </c>
      <c r="L6" s="13" t="inlineStr">
        <is>
          <t>Emballage</t>
        </is>
      </c>
      <c r="M6" s="13" t="n">
        <v>1.8</v>
      </c>
    </row>
    <row r="7">
      <c r="A7" s="11" t="inlineStr">
        <is>
          <t>REF407</t>
        </is>
      </c>
      <c r="B7" s="11" t="n">
        <v>50</v>
      </c>
      <c r="C7" s="11" t="n">
        <v>20</v>
      </c>
      <c r="D7" s="12" t="n"/>
      <c r="E7" s="12" t="n"/>
      <c r="F7" s="12" t="n"/>
      <c r="G7" s="12" t="n"/>
      <c r="H7" s="12" t="n"/>
      <c r="J7" s="13" t="inlineStr">
        <is>
          <t>REF406</t>
        </is>
      </c>
      <c r="K7" s="13" t="inlineStr">
        <is>
          <t>Film étirable</t>
        </is>
      </c>
      <c r="L7" s="13" t="inlineStr">
        <is>
          <t>Emballage</t>
        </is>
      </c>
      <c r="M7" s="13" t="n">
        <v>15.8</v>
      </c>
    </row>
    <row r="8">
      <c r="A8" s="11" t="inlineStr">
        <is>
          <t>REF409</t>
        </is>
      </c>
      <c r="B8" s="11" t="n">
        <v>3</v>
      </c>
      <c r="C8" s="11" t="n">
        <v>5</v>
      </c>
      <c r="D8" s="12" t="n"/>
      <c r="E8" s="12" t="n"/>
      <c r="F8" s="12" t="n"/>
      <c r="G8" s="12" t="n"/>
      <c r="H8" s="12" t="n"/>
      <c r="J8" s="13" t="inlineStr">
        <is>
          <t>REF407</t>
        </is>
      </c>
      <c r="K8" s="13" t="inlineStr">
        <is>
          <t>Étiquette code-barres</t>
        </is>
      </c>
      <c r="L8" s="13" t="inlineStr">
        <is>
          <t>Emballage</t>
        </is>
      </c>
      <c r="M8" s="13" t="n">
        <v>9.9</v>
      </c>
    </row>
    <row r="9">
      <c r="A9" s="11" t="inlineStr">
        <is>
          <t>REF410</t>
        </is>
      </c>
      <c r="B9" s="11" t="n">
        <v>12</v>
      </c>
      <c r="C9" s="11" t="n">
        <v>6</v>
      </c>
      <c r="D9" s="12" t="n"/>
      <c r="E9" s="12" t="n"/>
      <c r="F9" s="12" t="n"/>
      <c r="G9" s="12" t="n"/>
      <c r="H9" s="12" t="n"/>
      <c r="J9" s="13" t="inlineStr">
        <is>
          <t>REF408</t>
        </is>
      </c>
      <c r="K9" s="13" t="inlineStr">
        <is>
          <t>Palette Europe</t>
        </is>
      </c>
      <c r="L9" s="13" t="inlineStr">
        <is>
          <t>Emballage</t>
        </is>
      </c>
      <c r="M9" s="13" t="n">
        <v>25</v>
      </c>
    </row>
    <row r="10">
      <c r="A10" s="11" t="inlineStr">
        <is>
          <t>REF411</t>
        </is>
      </c>
      <c r="B10" s="11" t="n">
        <v>80</v>
      </c>
      <c r="C10" s="11" t="n">
        <v>40</v>
      </c>
      <c r="D10" s="12" t="n"/>
      <c r="E10" s="12" t="n"/>
      <c r="F10" s="12" t="n"/>
      <c r="G10" s="12" t="n"/>
      <c r="H10" s="12" t="n"/>
      <c r="J10" s="13" t="inlineStr">
        <is>
          <t>REF409</t>
        </is>
      </c>
      <c r="K10" s="13" t="inlineStr">
        <is>
          <t>Transpalette manuel</t>
        </is>
      </c>
      <c r="L10" s="13" t="inlineStr">
        <is>
          <t>Matériel</t>
        </is>
      </c>
      <c r="M10" s="13" t="n">
        <v>350</v>
      </c>
    </row>
    <row r="11">
      <c r="A11" s="11" t="inlineStr">
        <is>
          <t>REF412</t>
        </is>
      </c>
      <c r="B11" s="11" t="n">
        <v>2</v>
      </c>
      <c r="C11" s="11" t="n">
        <v>4</v>
      </c>
      <c r="D11" s="12" t="n"/>
      <c r="E11" s="12" t="n"/>
      <c r="F11" s="12" t="n"/>
      <c r="G11" s="12" t="n"/>
      <c r="H11" s="12" t="n"/>
      <c r="J11" s="13" t="inlineStr">
        <is>
          <t>REF410</t>
        </is>
      </c>
      <c r="K11" s="13" t="inlineStr">
        <is>
          <t>Diable pliant</t>
        </is>
      </c>
      <c r="L11" s="13" t="inlineStr">
        <is>
          <t>Matériel</t>
        </is>
      </c>
      <c r="M11" s="13" t="n">
        <v>89</v>
      </c>
    </row>
    <row r="12">
      <c r="J12" s="13" t="inlineStr">
        <is>
          <t>REF411</t>
        </is>
      </c>
      <c r="K12" s="13" t="inlineStr">
        <is>
          <t>Sangle d'arrimage</t>
        </is>
      </c>
      <c r="L12" s="13" t="inlineStr">
        <is>
          <t>Matériel</t>
        </is>
      </c>
      <c r="M12" s="13" t="n">
        <v>11.4</v>
      </c>
    </row>
    <row r="13">
      <c r="A13" s="14" t="inlineStr">
        <is>
          <t>Résultats à reporter</t>
        </is>
      </c>
      <c r="J13" s="13" t="inlineStr">
        <is>
          <t>REF412</t>
        </is>
      </c>
      <c r="K13" s="13" t="inlineStr">
        <is>
          <t>Chariot de manutention</t>
        </is>
      </c>
      <c r="L13" s="13" t="inlineStr">
        <is>
          <t>Matériel</t>
        </is>
      </c>
      <c r="M13" s="13" t="n">
        <v>620</v>
      </c>
    </row>
    <row r="14">
      <c r="A14" s="15" t="inlineStr">
        <is>
          <t>Catégorie</t>
        </is>
      </c>
      <c r="B14" s="15" t="inlineStr">
        <is>
          <t>Valeur totale du stock (€, depuis le TCD)</t>
        </is>
      </c>
    </row>
    <row r="15">
      <c r="A15" s="11" t="inlineStr">
        <is>
          <t>EPI</t>
        </is>
      </c>
      <c r="B15" s="12" t="n"/>
    </row>
    <row r="16">
      <c r="A16" s="11" t="inlineStr">
        <is>
          <t>Emballage</t>
        </is>
      </c>
      <c r="B16" s="12" t="n"/>
    </row>
    <row r="17">
      <c r="A17" s="11" t="inlineStr">
        <is>
          <t>Matériel</t>
        </is>
      </c>
      <c r="B17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Quantité en stock</t>
        </is>
      </c>
      <c r="C1" t="inlineStr">
        <is>
          <t>Seuil d'alerte</t>
        </is>
      </c>
      <c r="D1" t="inlineStr">
        <is>
          <t>Désignation</t>
        </is>
      </c>
      <c r="E1" t="inlineStr">
        <is>
          <t>Catégorie</t>
        </is>
      </c>
      <c r="F1" t="inlineStr">
        <is>
          <t>Prix unitaire (€)</t>
        </is>
      </c>
      <c r="G1" t="inlineStr">
        <is>
          <t>Valeur du stock (€)</t>
        </is>
      </c>
      <c r="H1" t="inlineStr">
        <is>
          <t>Statut</t>
        </is>
      </c>
    </row>
    <row r="2">
      <c r="A2" t="inlineStr">
        <is>
          <t>REF401</t>
        </is>
      </c>
      <c r="B2" t="n">
        <v>40</v>
      </c>
      <c r="C2" t="n">
        <v>20</v>
      </c>
      <c r="D2">
        <f>VLOOKUP(A2,$J$2:$M$13,2,FALSE)</f>
        <v/>
      </c>
      <c r="E2">
        <f>VLOOKUP(A2,$J$2:$M$13,3,FALSE)</f>
        <v/>
      </c>
      <c r="F2">
        <f>VLOOKUP(A2,$J$2:$M$13,4,FALSE)</f>
        <v/>
      </c>
      <c r="G2">
        <f>B2*F2</f>
        <v/>
      </c>
      <c r="H2">
        <f>IF(B2&lt;C2,"À commander","OK")</f>
        <v/>
      </c>
      <c r="J2" t="inlineStr">
        <is>
          <t>REF401</t>
        </is>
      </c>
      <c r="K2" t="inlineStr">
        <is>
          <t>Casque de chantier</t>
        </is>
      </c>
      <c r="L2" t="inlineStr">
        <is>
          <t>EPI</t>
        </is>
      </c>
      <c r="M2" t="n">
        <v>12.5</v>
      </c>
    </row>
    <row r="3">
      <c r="A3" t="inlineStr">
        <is>
          <t>REF402</t>
        </is>
      </c>
      <c r="B3" t="n">
        <v>15</v>
      </c>
      <c r="C3" t="n">
        <v>30</v>
      </c>
      <c r="D3">
        <f>VLOOKUP(A3,$J$2:$M$13,2,FALSE)</f>
        <v/>
      </c>
      <c r="E3">
        <f>VLOOKUP(A3,$J$2:$M$13,3,FALSE)</f>
        <v/>
      </c>
      <c r="F3">
        <f>VLOOKUP(A3,$J$2:$M$13,4,FALSE)</f>
        <v/>
      </c>
      <c r="G3">
        <f>B3*F3</f>
        <v/>
      </c>
      <c r="H3">
        <f>IF(B3&lt;C3,"À commander","OK")</f>
        <v/>
      </c>
      <c r="J3" t="inlineStr">
        <is>
          <t>REF402</t>
        </is>
      </c>
      <c r="K3" t="inlineStr">
        <is>
          <t>Gants de manutention</t>
        </is>
      </c>
      <c r="L3" t="inlineStr">
        <is>
          <t>EPI</t>
        </is>
      </c>
      <c r="M3" t="n">
        <v>4.2</v>
      </c>
    </row>
    <row r="4">
      <c r="A4" t="inlineStr">
        <is>
          <t>REF403</t>
        </is>
      </c>
      <c r="B4" t="n">
        <v>25</v>
      </c>
      <c r="C4" t="n">
        <v>10</v>
      </c>
      <c r="D4">
        <f>VLOOKUP(A4,$J$2:$M$13,2,FALSE)</f>
        <v/>
      </c>
      <c r="E4">
        <f>VLOOKUP(A4,$J$2:$M$13,3,FALSE)</f>
        <v/>
      </c>
      <c r="F4">
        <f>VLOOKUP(A4,$J$2:$M$13,4,FALSE)</f>
        <v/>
      </c>
      <c r="G4">
        <f>B4*F4</f>
        <v/>
      </c>
      <c r="H4">
        <f>IF(B4&lt;C4,"À commander","OK")</f>
        <v/>
      </c>
      <c r="J4" t="inlineStr">
        <is>
          <t>REF403</t>
        </is>
      </c>
      <c r="K4" t="inlineStr">
        <is>
          <t>Chaussures de sécurité</t>
        </is>
      </c>
      <c r="L4" t="inlineStr">
        <is>
          <t>EPI</t>
        </is>
      </c>
      <c r="M4" t="n">
        <v>45</v>
      </c>
    </row>
    <row r="5">
      <c r="A5" t="inlineStr">
        <is>
          <t>REF405</t>
        </is>
      </c>
      <c r="B5" t="n">
        <v>200</v>
      </c>
      <c r="C5" t="n">
        <v>100</v>
      </c>
      <c r="D5">
        <f>VLOOKUP(A5,$J$2:$M$13,2,FALSE)</f>
        <v/>
      </c>
      <c r="E5">
        <f>VLOOKUP(A5,$J$2:$M$13,3,FALSE)</f>
        <v/>
      </c>
      <c r="F5">
        <f>VLOOKUP(A5,$J$2:$M$13,4,FALSE)</f>
        <v/>
      </c>
      <c r="G5">
        <f>B5*F5</f>
        <v/>
      </c>
      <c r="H5">
        <f>IF(B5&lt;C5,"À commander","OK")</f>
        <v/>
      </c>
      <c r="J5" t="inlineStr">
        <is>
          <t>REF404</t>
        </is>
      </c>
      <c r="K5" t="inlineStr">
        <is>
          <t>Lunettes de protection</t>
        </is>
      </c>
      <c r="L5" t="inlineStr">
        <is>
          <t>EPI</t>
        </is>
      </c>
      <c r="M5" t="n">
        <v>6.5</v>
      </c>
    </row>
    <row r="6">
      <c r="A6" t="inlineStr">
        <is>
          <t>REF406</t>
        </is>
      </c>
      <c r="B6" t="n">
        <v>8</v>
      </c>
      <c r="C6" t="n">
        <v>15</v>
      </c>
      <c r="D6">
        <f>VLOOKUP(A6,$J$2:$M$13,2,FALSE)</f>
        <v/>
      </c>
      <c r="E6">
        <f>VLOOKUP(A6,$J$2:$M$13,3,FALSE)</f>
        <v/>
      </c>
      <c r="F6">
        <f>VLOOKUP(A6,$J$2:$M$13,4,FALSE)</f>
        <v/>
      </c>
      <c r="G6">
        <f>B6*F6</f>
        <v/>
      </c>
      <c r="H6">
        <f>IF(B6&lt;C6,"À commander","OK")</f>
        <v/>
      </c>
      <c r="J6" t="inlineStr">
        <is>
          <t>REF405</t>
        </is>
      </c>
      <c r="K6" t="inlineStr">
        <is>
          <t>Carton simple cannelure</t>
        </is>
      </c>
      <c r="L6" t="inlineStr">
        <is>
          <t>Emballage</t>
        </is>
      </c>
      <c r="M6" t="n">
        <v>1.8</v>
      </c>
    </row>
    <row r="7">
      <c r="A7" t="inlineStr">
        <is>
          <t>REF407</t>
        </is>
      </c>
      <c r="B7" t="n">
        <v>50</v>
      </c>
      <c r="C7" t="n">
        <v>20</v>
      </c>
      <c r="D7">
        <f>VLOOKUP(A7,$J$2:$M$13,2,FALSE)</f>
        <v/>
      </c>
      <c r="E7">
        <f>VLOOKUP(A7,$J$2:$M$13,3,FALSE)</f>
        <v/>
      </c>
      <c r="F7">
        <f>VLOOKUP(A7,$J$2:$M$13,4,FALSE)</f>
        <v/>
      </c>
      <c r="G7">
        <f>B7*F7</f>
        <v/>
      </c>
      <c r="H7">
        <f>IF(B7&lt;C7,"À commander","OK")</f>
        <v/>
      </c>
      <c r="J7" t="inlineStr">
        <is>
          <t>REF406</t>
        </is>
      </c>
      <c r="K7" t="inlineStr">
        <is>
          <t>Film étirable</t>
        </is>
      </c>
      <c r="L7" t="inlineStr">
        <is>
          <t>Emballage</t>
        </is>
      </c>
      <c r="M7" t="n">
        <v>15.8</v>
      </c>
    </row>
    <row r="8">
      <c r="A8" t="inlineStr">
        <is>
          <t>REF409</t>
        </is>
      </c>
      <c r="B8" t="n">
        <v>3</v>
      </c>
      <c r="C8" t="n">
        <v>5</v>
      </c>
      <c r="D8">
        <f>VLOOKUP(A8,$J$2:$M$13,2,FALSE)</f>
        <v/>
      </c>
      <c r="E8">
        <f>VLOOKUP(A8,$J$2:$M$13,3,FALSE)</f>
        <v/>
      </c>
      <c r="F8">
        <f>VLOOKUP(A8,$J$2:$M$13,4,FALSE)</f>
        <v/>
      </c>
      <c r="G8">
        <f>B8*F8</f>
        <v/>
      </c>
      <c r="H8">
        <f>IF(B8&lt;C8,"À commander","OK")</f>
        <v/>
      </c>
      <c r="J8" t="inlineStr">
        <is>
          <t>REF407</t>
        </is>
      </c>
      <c r="K8" t="inlineStr">
        <is>
          <t>Étiquette code-barres</t>
        </is>
      </c>
      <c r="L8" t="inlineStr">
        <is>
          <t>Emballage</t>
        </is>
      </c>
      <c r="M8" t="n">
        <v>9.9</v>
      </c>
    </row>
    <row r="9">
      <c r="A9" t="inlineStr">
        <is>
          <t>REF410</t>
        </is>
      </c>
      <c r="B9" t="n">
        <v>12</v>
      </c>
      <c r="C9" t="n">
        <v>6</v>
      </c>
      <c r="D9">
        <f>VLOOKUP(A9,$J$2:$M$13,2,FALSE)</f>
        <v/>
      </c>
      <c r="E9">
        <f>VLOOKUP(A9,$J$2:$M$13,3,FALSE)</f>
        <v/>
      </c>
      <c r="F9">
        <f>VLOOKUP(A9,$J$2:$M$13,4,FALSE)</f>
        <v/>
      </c>
      <c r="G9">
        <f>B9*F9</f>
        <v/>
      </c>
      <c r="H9">
        <f>IF(B9&lt;C9,"À commander","OK")</f>
        <v/>
      </c>
      <c r="J9" t="inlineStr">
        <is>
          <t>REF408</t>
        </is>
      </c>
      <c r="K9" t="inlineStr">
        <is>
          <t>Palette Europe</t>
        </is>
      </c>
      <c r="L9" t="inlineStr">
        <is>
          <t>Emballage</t>
        </is>
      </c>
      <c r="M9" t="n">
        <v>25</v>
      </c>
    </row>
    <row r="10">
      <c r="A10" t="inlineStr">
        <is>
          <t>REF411</t>
        </is>
      </c>
      <c r="B10" t="n">
        <v>80</v>
      </c>
      <c r="C10" t="n">
        <v>40</v>
      </c>
      <c r="D10">
        <f>VLOOKUP(A10,$J$2:$M$13,2,FALSE)</f>
        <v/>
      </c>
      <c r="E10">
        <f>VLOOKUP(A10,$J$2:$M$13,3,FALSE)</f>
        <v/>
      </c>
      <c r="F10">
        <f>VLOOKUP(A10,$J$2:$M$13,4,FALSE)</f>
        <v/>
      </c>
      <c r="G10">
        <f>B10*F10</f>
        <v/>
      </c>
      <c r="H10">
        <f>IF(B10&lt;C10,"À commander","OK")</f>
        <v/>
      </c>
      <c r="J10" t="inlineStr">
        <is>
          <t>REF409</t>
        </is>
      </c>
      <c r="K10" t="inlineStr">
        <is>
          <t>Transpalette manuel</t>
        </is>
      </c>
      <c r="L10" t="inlineStr">
        <is>
          <t>Matériel</t>
        </is>
      </c>
      <c r="M10" t="n">
        <v>350</v>
      </c>
    </row>
    <row r="11">
      <c r="A11" t="inlineStr">
        <is>
          <t>REF412</t>
        </is>
      </c>
      <c r="B11" t="n">
        <v>2</v>
      </c>
      <c r="C11" t="n">
        <v>4</v>
      </c>
      <c r="D11">
        <f>VLOOKUP(A11,$J$2:$M$13,2,FALSE)</f>
        <v/>
      </c>
      <c r="E11">
        <f>VLOOKUP(A11,$J$2:$M$13,3,FALSE)</f>
        <v/>
      </c>
      <c r="F11">
        <f>VLOOKUP(A11,$J$2:$M$13,4,FALSE)</f>
        <v/>
      </c>
      <c r="G11">
        <f>B11*F11</f>
        <v/>
      </c>
      <c r="H11">
        <f>IF(B11&lt;C11,"À commander","OK")</f>
        <v/>
      </c>
      <c r="J11" t="inlineStr">
        <is>
          <t>REF410</t>
        </is>
      </c>
      <c r="K11" t="inlineStr">
        <is>
          <t>Diable pliant</t>
        </is>
      </c>
      <c r="L11" t="inlineStr">
        <is>
          <t>Matériel</t>
        </is>
      </c>
      <c r="M11" t="n">
        <v>89</v>
      </c>
    </row>
    <row r="12">
      <c r="J12" t="inlineStr">
        <is>
          <t>REF411</t>
        </is>
      </c>
      <c r="K12" t="inlineStr">
        <is>
          <t>Sangle d'arrimage</t>
        </is>
      </c>
      <c r="L12" t="inlineStr">
        <is>
          <t>Matériel</t>
        </is>
      </c>
      <c r="M12" t="n">
        <v>11.4</v>
      </c>
    </row>
    <row r="13">
      <c r="J13" t="inlineStr">
        <is>
          <t>REF412</t>
        </is>
      </c>
      <c r="K13" t="inlineStr">
        <is>
          <t>Chariot de manutention</t>
        </is>
      </c>
      <c r="L13" t="inlineStr">
        <is>
          <t>Matériel</t>
        </is>
      </c>
      <c r="M13" t="n">
        <v>620</v>
      </c>
    </row>
    <row r="14">
      <c r="A14" t="inlineStr">
        <is>
          <t>Catégorie</t>
        </is>
      </c>
      <c r="B14" t="inlineStr">
        <is>
          <t>Valeur totale</t>
        </is>
      </c>
    </row>
    <row r="15">
      <c r="A15" t="inlineStr">
        <is>
          <t>EPI</t>
        </is>
      </c>
      <c r="B15">
        <f>SUMIF(E2:E11,A15,G2:G11)</f>
        <v/>
      </c>
    </row>
    <row r="16">
      <c r="A16" t="inlineStr">
        <is>
          <t>Emballage</t>
        </is>
      </c>
      <c r="B16">
        <f>SUMIF(E2:E11,A16,G2:G11)</f>
        <v/>
      </c>
    </row>
    <row r="17">
      <c r="A17" t="inlineStr">
        <is>
          <t>Matériel</t>
        </is>
      </c>
      <c r="B17">
        <f>SUMIF(E2:E11,A17,G2:G11)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2026-09-12T07:04:01Z</dcterms:created>
  <dcterms:modified xmlns:dcterms="http://purl.org/dc/terms/" xmlns:xsi="http://www.w3.org/2001/XMLSchema-instance" xsi:type="dcterms:W3CDTF">2026-09-21T07:15:17Z</dcterms:modified>
</cp:coreProperties>
</file>