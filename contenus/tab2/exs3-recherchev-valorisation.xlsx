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  <sheet xmlns:r="http://schemas.openxmlformats.org/officeDocument/2006/relationships" name="Correction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color rgb="0057544C"/>
      <sz val="10"/>
    </font>
    <font>
      <name val="Calibri"/>
      <b val="1"/>
      <color rgb="00D9530F"/>
      <sz val="16"/>
    </font>
    <font>
      <name val="Calibri"/>
      <i val="1"/>
      <color rgb="0057544C"/>
      <sz val="11"/>
    </font>
    <font>
      <b val="1"/>
      <color rgb="0033505D"/>
      <sz val="12"/>
    </font>
    <font>
      <name val="Calibri"/>
      <sz val="11"/>
    </font>
    <font>
      <b val="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11F1A"/>
        <bgColor rgb="00211F1A"/>
      </patternFill>
    </fill>
    <fill>
      <patternFill patternType="solid">
        <fgColor rgb="00FFF3E9"/>
        <bgColor rgb="00FFF3E9"/>
      </patternFill>
    </fill>
    <fill>
      <patternFill patternType="solid">
        <fgColor rgb="00EEF3F4"/>
        <bgColor rgb="00EEF3F4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D9530F"/>
      </left>
      <right style="medium">
        <color rgb="00D9530F"/>
      </right>
      <top style="medium">
        <color rgb="00D9530F"/>
      </top>
      <bottom style="medium">
        <color rgb="00D9530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0" fontId="5" fillId="0" borderId="1" pivotButton="0" quotePrefix="0" xfId="0"/>
    <xf numFmtId="0" fontId="5" fillId="3" borderId="2" pivotButton="0" quotePrefix="0" xfId="0"/>
    <xf numFmtId="0" fontId="5" fillId="4" borderId="1" pivotButton="0" quotePrefix="0" xfId="0"/>
    <xf numFmtId="0" fontId="0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LYCÉE GASTON DARBOUX — NÎMES</t>
        </is>
      </c>
    </row>
    <row r="2">
      <c r="A2" s="2" t="inlineStr">
        <is>
          <t>EXS-3 — Valoriser le stock avec RECHERCHEV</t>
        </is>
      </c>
    </row>
    <row r="3">
      <c r="A3" s="3" t="inlineStr">
        <is>
          <t>Bac Pro Métiers de la Logistique — Excel intermédiaire : gestion des stocks</t>
        </is>
      </c>
    </row>
    <row r="4"/>
    <row r="5">
      <c r="A5" s="4" t="inlineStr">
        <is>
          <t>Objectif</t>
        </is>
      </c>
    </row>
    <row r="6" ht="30" customHeight="1">
      <c r="A6" s="5" t="inlineStr">
        <is>
          <t>Combiner RECHERCHEV et un calcul pour déterminer la valeur financière du stock de chaque référence, puis la valeur totale du stock.</t>
        </is>
      </c>
    </row>
    <row r="7"/>
    <row r="8"/>
    <row r="9">
      <c r="A9" s="4" t="inlineStr">
        <is>
          <t>Comment ça marche</t>
        </is>
      </c>
    </row>
    <row r="10" ht="48" customHeight="1">
      <c r="A10" s="5" t="inlineStr">
        <is>
          <t>La fonction RECHERCHEV cherche une valeur dans la première colonne d'un tableau de référence, et ramène une information associée trouvée sur la même ligne, dans une autre colonne. Syntaxe : =RECHERCHEV(valeur cherchée; tableau où chercher; numéro de la colonne à ramener; FAUX). Pensez à figer le tableau de référence avec les touches F4 avant de recopier la formule vers le bas.</t>
        </is>
      </c>
    </row>
    <row r="11" ht="48" customHeight="1">
      <c r="A11" s="5" t="inlineStr">
        <is>
          <t>La valeur du stock d'une référence s'obtient en multipliant sa quantité en stock par son prix unitaire. Le total général s'obtient avec SOMME sur toute la colonne Valeur du stock.</t>
        </is>
      </c>
    </row>
    <row r="12"/>
    <row r="13">
      <c r="A13" s="4" t="inlineStr">
        <is>
          <t>Ce que vous devez faire</t>
        </is>
      </c>
    </row>
    <row r="14" ht="30" customHeight="1">
      <c r="A14" s="6" t="inlineStr">
        <is>
          <t>1.</t>
        </is>
      </c>
      <c r="B14" s="5" t="inlineStr">
        <is>
          <t>Allez dans l'onglet « Exercice ». Le catalogue des prix est fourni à droite (colonnes F et G).</t>
        </is>
      </c>
    </row>
    <row r="15" ht="30" customHeight="1">
      <c r="A15" s="6" t="inlineStr">
        <is>
          <t>2.</t>
        </is>
      </c>
      <c r="B15" s="5" t="inlineStr">
        <is>
          <t>Dans la colonne Prix unitaire, retrouvez le prix de chaque référence avec RECHERCHEV.</t>
        </is>
      </c>
    </row>
    <row r="16" ht="30" customHeight="1">
      <c r="A16" s="6" t="inlineStr">
        <is>
          <t>3.</t>
        </is>
      </c>
      <c r="B16" s="5" t="inlineStr">
        <is>
          <t>Dans la colonne Valeur du stock, calculez Quantité × Prix unitaire.</t>
        </is>
      </c>
    </row>
    <row r="17" ht="30" customHeight="1">
      <c r="A17" s="6" t="inlineStr">
        <is>
          <t>4.</t>
        </is>
      </c>
      <c r="B17" s="5" t="inlineStr">
        <is>
          <t>Dans la cellule Total, calculez la somme de toute la colonne Valeur du stock.</t>
        </is>
      </c>
    </row>
  </sheetData>
  <mergeCells count="7">
    <mergeCell ref="B16:G16"/>
    <mergeCell ref="B14:G14"/>
    <mergeCell ref="B17:G17"/>
    <mergeCell ref="A11:G11"/>
    <mergeCell ref="B15:G15"/>
    <mergeCell ref="A10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2" customWidth="1" min="5" max="5"/>
    <col width="12" customWidth="1" min="6" max="6"/>
    <col width="16" customWidth="1" min="7" max="7"/>
  </cols>
  <sheetData>
    <row r="1">
      <c r="A1" s="7" t="inlineStr">
        <is>
          <t>Référence</t>
        </is>
      </c>
      <c r="B1" s="7" t="inlineStr">
        <is>
          <t>Quantité en stock</t>
        </is>
      </c>
      <c r="C1" s="7" t="inlineStr">
        <is>
          <t>Prix unitaire (€)</t>
        </is>
      </c>
      <c r="D1" s="7" t="inlineStr">
        <is>
          <t>Valeur du stock (€)</t>
        </is>
      </c>
      <c r="F1" s="8" t="inlineStr">
        <is>
          <t>Référence</t>
        </is>
      </c>
      <c r="G1" s="8" t="inlineStr">
        <is>
          <t>Prix unitaire (€)</t>
        </is>
      </c>
    </row>
    <row r="2">
      <c r="A2" s="9" t="inlineStr">
        <is>
          <t>REF201</t>
        </is>
      </c>
      <c r="B2" s="9" t="n">
        <v>50</v>
      </c>
      <c r="C2" s="10" t="n"/>
      <c r="D2" s="10" t="n"/>
      <c r="F2" s="11" t="inlineStr">
        <is>
          <t>REF201</t>
        </is>
      </c>
      <c r="G2" s="11" t="n">
        <v>15</v>
      </c>
    </row>
    <row r="3">
      <c r="A3" s="9" t="inlineStr">
        <is>
          <t>REF203</t>
        </is>
      </c>
      <c r="B3" s="9" t="n">
        <v>4</v>
      </c>
      <c r="C3" s="10" t="n"/>
      <c r="D3" s="10" t="n"/>
      <c r="F3" s="11" t="inlineStr">
        <is>
          <t>REF202</t>
        </is>
      </c>
      <c r="G3" s="11" t="n">
        <v>8.5</v>
      </c>
    </row>
    <row r="4">
      <c r="A4" s="9" t="inlineStr">
        <is>
          <t>REF205</t>
        </is>
      </c>
      <c r="B4" s="9" t="n">
        <v>20</v>
      </c>
      <c r="C4" s="10" t="n"/>
      <c r="D4" s="10" t="n"/>
      <c r="F4" s="11" t="inlineStr">
        <is>
          <t>REF203</t>
        </is>
      </c>
      <c r="G4" s="11" t="n">
        <v>120</v>
      </c>
    </row>
    <row r="5">
      <c r="A5" s="9" t="inlineStr">
        <is>
          <t>REF207</t>
        </is>
      </c>
      <c r="B5" s="9" t="n">
        <v>100</v>
      </c>
      <c r="C5" s="10" t="n"/>
      <c r="D5" s="10" t="n"/>
      <c r="F5" s="11" t="inlineStr">
        <is>
          <t>REF204</t>
        </is>
      </c>
      <c r="G5" s="11" t="n">
        <v>3.4</v>
      </c>
    </row>
    <row r="6">
      <c r="A6" s="9" t="inlineStr">
        <is>
          <t>REF209</t>
        </is>
      </c>
      <c r="B6" s="9" t="n">
        <v>60</v>
      </c>
      <c r="C6" s="10" t="n"/>
      <c r="D6" s="10" t="n"/>
      <c r="F6" s="11" t="inlineStr">
        <is>
          <t>REF205</t>
        </is>
      </c>
      <c r="G6" s="11" t="n">
        <v>22.9</v>
      </c>
    </row>
    <row r="7">
      <c r="A7" s="9" t="inlineStr">
        <is>
          <t>REF211</t>
        </is>
      </c>
      <c r="B7" s="9" t="n">
        <v>300</v>
      </c>
      <c r="C7" s="10" t="n"/>
      <c r="D7" s="10" t="n"/>
      <c r="F7" s="11" t="inlineStr">
        <is>
          <t>REF206</t>
        </is>
      </c>
      <c r="G7" s="11" t="n">
        <v>60</v>
      </c>
    </row>
    <row r="8">
      <c r="A8" s="9" t="inlineStr">
        <is>
          <t>REF202</t>
        </is>
      </c>
      <c r="B8" s="9" t="n">
        <v>80</v>
      </c>
      <c r="C8" s="10" t="n"/>
      <c r="D8" s="10" t="n"/>
      <c r="F8" s="11" t="inlineStr">
        <is>
          <t>REF207</t>
        </is>
      </c>
      <c r="G8" s="11" t="n">
        <v>5.1</v>
      </c>
    </row>
    <row r="9">
      <c r="A9" s="9" t="inlineStr">
        <is>
          <t>REF204</t>
        </is>
      </c>
      <c r="B9" s="9" t="n">
        <v>150</v>
      </c>
      <c r="C9" s="10" t="n"/>
      <c r="D9" s="10" t="n"/>
      <c r="F9" s="11" t="inlineStr">
        <is>
          <t>REF208</t>
        </is>
      </c>
      <c r="G9" s="11" t="n">
        <v>200</v>
      </c>
    </row>
    <row r="10">
      <c r="A10" s="9" t="inlineStr">
        <is>
          <t>REF206</t>
        </is>
      </c>
      <c r="B10" s="9" t="n">
        <v>10</v>
      </c>
      <c r="C10" s="10" t="n"/>
      <c r="D10" s="10" t="n"/>
      <c r="F10" s="11" t="inlineStr">
        <is>
          <t>REF209</t>
        </is>
      </c>
      <c r="G10" s="11" t="n">
        <v>9.800000000000001</v>
      </c>
    </row>
    <row r="11">
      <c r="A11" s="9" t="inlineStr">
        <is>
          <t>REF208</t>
        </is>
      </c>
      <c r="B11" s="9" t="n">
        <v>3</v>
      </c>
      <c r="C11" s="10" t="n"/>
      <c r="D11" s="10" t="n"/>
      <c r="F11" s="11" t="inlineStr">
        <is>
          <t>REF210</t>
        </is>
      </c>
      <c r="G11" s="11" t="n">
        <v>45.5</v>
      </c>
    </row>
    <row r="12">
      <c r="F12" s="11" t="inlineStr">
        <is>
          <t>REF211</t>
        </is>
      </c>
      <c r="G12" s="11" t="n">
        <v>2.3</v>
      </c>
    </row>
    <row r="13">
      <c r="A13" s="6" t="inlineStr">
        <is>
          <t>Total</t>
        </is>
      </c>
      <c r="D13" s="12" t="n"/>
      <c r="F13" s="11" t="inlineStr">
        <is>
          <t>REF212</t>
        </is>
      </c>
      <c r="G13" s="11" t="n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Référence</t>
        </is>
      </c>
      <c r="B1" t="inlineStr">
        <is>
          <t>Quantité en stock</t>
        </is>
      </c>
      <c r="C1" t="inlineStr">
        <is>
          <t>Prix unitaire (€)</t>
        </is>
      </c>
      <c r="D1" t="inlineStr">
        <is>
          <t>Valeur du stock (€)</t>
        </is>
      </c>
    </row>
    <row r="2">
      <c r="A2" t="inlineStr">
        <is>
          <t>REF201</t>
        </is>
      </c>
      <c r="B2" t="n">
        <v>50</v>
      </c>
      <c r="C2">
        <f>VLOOKUP(A2,$F$2:$G$13,2,FALSE)</f>
        <v/>
      </c>
      <c r="D2">
        <f>B2*C2</f>
        <v/>
      </c>
      <c r="F2" t="inlineStr">
        <is>
          <t>REF201</t>
        </is>
      </c>
      <c r="G2" t="n">
        <v>15</v>
      </c>
    </row>
    <row r="3">
      <c r="A3" t="inlineStr">
        <is>
          <t>REF203</t>
        </is>
      </c>
      <c r="B3" t="n">
        <v>4</v>
      </c>
      <c r="C3">
        <f>VLOOKUP(A3,$F$2:$G$13,2,FALSE)</f>
        <v/>
      </c>
      <c r="D3">
        <f>B3*C3</f>
        <v/>
      </c>
      <c r="F3" t="inlineStr">
        <is>
          <t>REF202</t>
        </is>
      </c>
      <c r="G3" t="n">
        <v>8.5</v>
      </c>
    </row>
    <row r="4">
      <c r="A4" t="inlineStr">
        <is>
          <t>REF205</t>
        </is>
      </c>
      <c r="B4" t="n">
        <v>20</v>
      </c>
      <c r="C4">
        <f>VLOOKUP(A4,$F$2:$G$13,2,FALSE)</f>
        <v/>
      </c>
      <c r="D4">
        <f>B4*C4</f>
        <v/>
      </c>
      <c r="F4" t="inlineStr">
        <is>
          <t>REF203</t>
        </is>
      </c>
      <c r="G4" t="n">
        <v>120</v>
      </c>
    </row>
    <row r="5">
      <c r="A5" t="inlineStr">
        <is>
          <t>REF207</t>
        </is>
      </c>
      <c r="B5" t="n">
        <v>100</v>
      </c>
      <c r="C5">
        <f>VLOOKUP(A5,$F$2:$G$13,2,FALSE)</f>
        <v/>
      </c>
      <c r="D5">
        <f>B5*C5</f>
        <v/>
      </c>
      <c r="F5" t="inlineStr">
        <is>
          <t>REF204</t>
        </is>
      </c>
      <c r="G5" t="n">
        <v>3.4</v>
      </c>
    </row>
    <row r="6">
      <c r="A6" t="inlineStr">
        <is>
          <t>REF209</t>
        </is>
      </c>
      <c r="B6" t="n">
        <v>60</v>
      </c>
      <c r="C6">
        <f>VLOOKUP(A6,$F$2:$G$13,2,FALSE)</f>
        <v/>
      </c>
      <c r="D6">
        <f>B6*C6</f>
        <v/>
      </c>
      <c r="F6" t="inlineStr">
        <is>
          <t>REF205</t>
        </is>
      </c>
      <c r="G6" t="n">
        <v>22.9</v>
      </c>
    </row>
    <row r="7">
      <c r="A7" t="inlineStr">
        <is>
          <t>REF211</t>
        </is>
      </c>
      <c r="B7" t="n">
        <v>300</v>
      </c>
      <c r="C7">
        <f>VLOOKUP(A7,$F$2:$G$13,2,FALSE)</f>
        <v/>
      </c>
      <c r="D7">
        <f>B7*C7</f>
        <v/>
      </c>
      <c r="F7" t="inlineStr">
        <is>
          <t>REF206</t>
        </is>
      </c>
      <c r="G7" t="n">
        <v>60</v>
      </c>
    </row>
    <row r="8">
      <c r="A8" t="inlineStr">
        <is>
          <t>REF202</t>
        </is>
      </c>
      <c r="B8" t="n">
        <v>80</v>
      </c>
      <c r="C8">
        <f>VLOOKUP(A8,$F$2:$G$13,2,FALSE)</f>
        <v/>
      </c>
      <c r="D8">
        <f>B8*C8</f>
        <v/>
      </c>
      <c r="F8" t="inlineStr">
        <is>
          <t>REF207</t>
        </is>
      </c>
      <c r="G8" t="n">
        <v>5.1</v>
      </c>
    </row>
    <row r="9">
      <c r="A9" t="inlineStr">
        <is>
          <t>REF204</t>
        </is>
      </c>
      <c r="B9" t="n">
        <v>150</v>
      </c>
      <c r="C9">
        <f>VLOOKUP(A9,$F$2:$G$13,2,FALSE)</f>
        <v/>
      </c>
      <c r="D9">
        <f>B9*C9</f>
        <v/>
      </c>
      <c r="F9" t="inlineStr">
        <is>
          <t>REF208</t>
        </is>
      </c>
      <c r="G9" t="n">
        <v>200</v>
      </c>
    </row>
    <row r="10">
      <c r="A10" t="inlineStr">
        <is>
          <t>REF206</t>
        </is>
      </c>
      <c r="B10" t="n">
        <v>10</v>
      </c>
      <c r="C10">
        <f>VLOOKUP(A10,$F$2:$G$13,2,FALSE)</f>
        <v/>
      </c>
      <c r="D10">
        <f>B10*C10</f>
        <v/>
      </c>
      <c r="F10" t="inlineStr">
        <is>
          <t>REF209</t>
        </is>
      </c>
      <c r="G10" t="n">
        <v>9.800000000000001</v>
      </c>
    </row>
    <row r="11">
      <c r="A11" t="inlineStr">
        <is>
          <t>REF208</t>
        </is>
      </c>
      <c r="B11" t="n">
        <v>3</v>
      </c>
      <c r="C11">
        <f>VLOOKUP(A11,$F$2:$G$13,2,FALSE)</f>
        <v/>
      </c>
      <c r="D11">
        <f>B11*C11</f>
        <v/>
      </c>
      <c r="F11" t="inlineStr">
        <is>
          <t>REF210</t>
        </is>
      </c>
      <c r="G11" t="n">
        <v>45.5</v>
      </c>
    </row>
    <row r="12">
      <c r="F12" t="inlineStr">
        <is>
          <t>REF211</t>
        </is>
      </c>
      <c r="G12" t="n">
        <v>2.3</v>
      </c>
    </row>
    <row r="13">
      <c r="A13" t="inlineStr">
        <is>
          <t>Total</t>
        </is>
      </c>
      <c r="D13">
        <f>SUM(D2:D11)</f>
        <v/>
      </c>
      <c r="F13" t="inlineStr">
        <is>
          <t>REF212</t>
        </is>
      </c>
      <c r="G13" t="n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2026-09-12T07:04:01Z</dcterms:created>
  <dcterms:modified xmlns:dcterms="http://purl.org/dc/terms/" xmlns:xsi="http://www.w3.org/2001/XMLSchema-instance" xsi:type="dcterms:W3CDTF">2026-09-21T07:15:17Z</dcterms:modified>
</cp:coreProperties>
</file>